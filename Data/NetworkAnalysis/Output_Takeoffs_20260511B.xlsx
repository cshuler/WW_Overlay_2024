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HUB\WW_Overlay_2024\Data\NetworkAnalysis\"/>
    </mc:Choice>
  </mc:AlternateContent>
  <xr:revisionPtr revIDLastSave="0" documentId="13_ncr:1_{9A869E74-AB89-4F95-9549-7388B952C43A}" xr6:coauthVersionLast="47" xr6:coauthVersionMax="47" xr10:uidLastSave="{00000000-0000-0000-0000-000000000000}"/>
  <bookViews>
    <workbookView xWindow="-110" yWindow="-110" windowWidth="38620" windowHeight="21100" xr2:uid="{00000000-000D-0000-FFFF-FFFF00000000}"/>
  </bookViews>
  <sheets>
    <sheet name="Cluster_4_28_MASTER_ExportFeatu"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 i="1" l="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2" i="1"/>
</calcChain>
</file>

<file path=xl/sharedStrings.xml><?xml version="1.0" encoding="utf-8"?>
<sst xmlns="http://schemas.openxmlformats.org/spreadsheetml/2006/main" count="1080" uniqueCount="420">
  <si>
    <t>OBJECTID</t>
  </si>
  <si>
    <t>UID</t>
  </si>
  <si>
    <t>Cost_symbol</t>
  </si>
  <si>
    <t>Cost_per_c</t>
  </si>
  <si>
    <t>Cost_Estim</t>
  </si>
  <si>
    <t>Name</t>
  </si>
  <si>
    <t>island</t>
  </si>
  <si>
    <t>Census_tract</t>
  </si>
  <si>
    <t>Priority_1_Cesspool_Count</t>
  </si>
  <si>
    <t>Priority_2_Cesspool_Count</t>
  </si>
  <si>
    <t>Priority_3_Cesspool_Count</t>
  </si>
  <si>
    <t>Total_Cesspools</t>
  </si>
  <si>
    <t>WWTP_1_Name</t>
  </si>
  <si>
    <t>WWTP_2_Name</t>
  </si>
  <si>
    <t>Cost_per_k</t>
  </si>
  <si>
    <t>Total_N_load_kg_yr</t>
  </si>
  <si>
    <t>Flow_rt</t>
  </si>
  <si>
    <t>W_in_2_miles_service_area</t>
  </si>
  <si>
    <t>WWTP_Capacity</t>
  </si>
  <si>
    <t>Details</t>
  </si>
  <si>
    <t>Status</t>
  </si>
  <si>
    <t>RelavantLink_1</t>
  </si>
  <si>
    <t>RelavantLink_2</t>
  </si>
  <si>
    <t>RelevantLink_3</t>
  </si>
  <si>
    <t>Shape_Length</t>
  </si>
  <si>
    <t>Shape_Area</t>
  </si>
  <si>
    <t>Total_TMK_Cnt</t>
  </si>
  <si>
    <t>Gravity_Feet</t>
  </si>
  <si>
    <t>Remainder_TMK_Cnt</t>
  </si>
  <si>
    <t>Remainder_Ft_to_NPS</t>
  </si>
  <si>
    <t>Pressure_Feet</t>
  </si>
  <si>
    <t>NPS_Cnt</t>
  </si>
  <si>
    <t>NPS_TMK_Cnt</t>
  </si>
  <si>
    <t>Grav_TMK_Cnt</t>
  </si>
  <si>
    <t>H-18</t>
  </si>
  <si>
    <t>$$$$$</t>
  </si>
  <si>
    <t>Hawaiian Beaches</t>
  </si>
  <si>
    <t>Hawaii</t>
  </si>
  <si>
    <t>Pahoa- Makai</t>
  </si>
  <si>
    <t>No</t>
  </si>
  <si>
    <t>This project area is not within 2 miles of an existing wastewater service area but has been identified in the Puna Wastewater Facilities Plan as a potential project area.</t>
  </si>
  <si>
    <t>Under Evaluation (E)</t>
  </si>
  <si>
    <t xml:space="preserve">https://go.hawaii.edu/2Xi  </t>
  </si>
  <si>
    <t>H-19</t>
  </si>
  <si>
    <t>Nanawele Estates</t>
  </si>
  <si>
    <t>H-20</t>
  </si>
  <si>
    <t>Seaview</t>
  </si>
  <si>
    <t>Kalapana-Kapoho</t>
  </si>
  <si>
    <t>This area has no active plans for centralized municipal or private sewer.</t>
  </si>
  <si>
    <t>No Active Plans (N)</t>
  </si>
  <si>
    <t xml:space="preserve">https://go.hawaii.edu/iXk </t>
  </si>
  <si>
    <t>H-21</t>
  </si>
  <si>
    <t>Kehena</t>
  </si>
  <si>
    <t>H-1</t>
  </si>
  <si>
    <t>$$$</t>
  </si>
  <si>
    <t>Pahala</t>
  </si>
  <si>
    <t>Kau</t>
  </si>
  <si>
    <t>Yes, County</t>
  </si>
  <si>
    <t>Yes</t>
  </si>
  <si>
    <t xml:space="preserve">Construction has been started on this project. A Notice to Proceed for the construction of the Pāhala Wastewater Treatment Plant was issued on March 6, 2026. </t>
  </si>
  <si>
    <t>Planned or Underway (P)</t>
  </si>
  <si>
    <t>https://go.hawaii.edu/mXi</t>
  </si>
  <si>
    <t>H-2</t>
  </si>
  <si>
    <t>$$$$</t>
  </si>
  <si>
    <t>Naalehu</t>
  </si>
  <si>
    <t>Ka Lae</t>
  </si>
  <si>
    <t>This project is in the planned or underway phase. EPA approval has been received and a revised compliance deadline to submit the Nā‘ālehu EID from January 20, 2026, to May 21, 2027.</t>
  </si>
  <si>
    <t>https://go.hawaii.edu/iXr</t>
  </si>
  <si>
    <t>H-22</t>
  </si>
  <si>
    <t>Kaʻohe</t>
  </si>
  <si>
    <t>South Kona</t>
  </si>
  <si>
    <t>H-23</t>
  </si>
  <si>
    <t>Kīloa</t>
  </si>
  <si>
    <t>Konawaena</t>
  </si>
  <si>
    <t>Heeia (Keauhou-Kona Resort)</t>
  </si>
  <si>
    <t>Yes, Private</t>
  </si>
  <si>
    <t>https://go.hawaii.edu/XXi</t>
  </si>
  <si>
    <t>H-24</t>
  </si>
  <si>
    <t>Captain Cook</t>
  </si>
  <si>
    <t>H-25</t>
  </si>
  <si>
    <t>Kealakekua</t>
  </si>
  <si>
    <t>H-16</t>
  </si>
  <si>
    <t>Kuakini Heights</t>
  </si>
  <si>
    <t>Kahalu'u Mauka</t>
  </si>
  <si>
    <t>Kealakehe</t>
  </si>
  <si>
    <t>Yes, County &amp; Private</t>
  </si>
  <si>
    <t>Yes, but not for every area.</t>
  </si>
  <si>
    <t>This project area is within 2 miles of the existing municipal Kealakehe wastewater service area and a private wastewater service area. There are currently no Hawaiʻi County or private-sector plans to extend wastewater service to this area. However, the Kealakehe WWTP may have limited available capacity to serve all or part of the project area, depending on how capacity is allocated among future connections in surrounding areas.</t>
  </si>
  <si>
    <t>H-17</t>
  </si>
  <si>
    <t>$$</t>
  </si>
  <si>
    <t>Holualoa</t>
  </si>
  <si>
    <t>H-3</t>
  </si>
  <si>
    <t>Hillcrest</t>
  </si>
  <si>
    <t>Pua'a</t>
  </si>
  <si>
    <t>H-4</t>
  </si>
  <si>
    <t>Kailua-Kona</t>
  </si>
  <si>
    <t>Kailua</t>
  </si>
  <si>
    <t>H-5</t>
  </si>
  <si>
    <t>Kealakehe HHL</t>
  </si>
  <si>
    <t>H-26</t>
  </si>
  <si>
    <t>Kalaoa</t>
  </si>
  <si>
    <t>H-27</t>
  </si>
  <si>
    <t>Haiwi</t>
  </si>
  <si>
    <t>North Kohala</t>
  </si>
  <si>
    <t>H-28</t>
  </si>
  <si>
    <t>Kapaau</t>
  </si>
  <si>
    <t>H-39</t>
  </si>
  <si>
    <t>Waiʻaka</t>
  </si>
  <si>
    <t>Waimea - Kohala</t>
  </si>
  <si>
    <t>Waimea Wastewater Company, Inc.</t>
  </si>
  <si>
    <t xml:space="preserve">This project area has been identified as a potential project area in the Puakō and South Kohala Regional Wastewater Master Plan. </t>
  </si>
  <si>
    <t>https://go.hawaii.edu/iXN</t>
  </si>
  <si>
    <t>H-40</t>
  </si>
  <si>
    <t>Waimea</t>
  </si>
  <si>
    <t>Waimea - Pu'u Anahulu</t>
  </si>
  <si>
    <t>This project area has been identified as a potential project area in the Puakō and South Kohala Regional Wastewater Master Plan.</t>
  </si>
  <si>
    <t>H-41</t>
  </si>
  <si>
    <t>East Waimea</t>
  </si>
  <si>
    <t>H-29</t>
  </si>
  <si>
    <t>Puʻukapu Homesteads</t>
  </si>
  <si>
    <t>H-30</t>
  </si>
  <si>
    <t>Puʻukapu Homesteads East</t>
  </si>
  <si>
    <t>H-31</t>
  </si>
  <si>
    <t>Ola Mamalahoa Hwy West</t>
  </si>
  <si>
    <t>H-6</t>
  </si>
  <si>
    <t>Honokaa</t>
  </si>
  <si>
    <t>Honokaa-Kukuihaele</t>
  </si>
  <si>
    <t>Honokaa WWTP</t>
  </si>
  <si>
    <t>Yes, but very limited</t>
  </si>
  <si>
    <t>This project area is within 2 miles of the existing municipal Honokaʻa wastewater service area. There are currently no Hawaiʻi County plans to extend service to this area.  However, the Honokaa WWTP may have very limited available capacity for less than 200 homes with cesspools, depending on how capacity is allocated among future connections in surrounding areas.</t>
  </si>
  <si>
    <t>H-7</t>
  </si>
  <si>
    <t>Paauhau</t>
  </si>
  <si>
    <t>Paauhau-Paauilo</t>
  </si>
  <si>
    <t>H-32</t>
  </si>
  <si>
    <t>Paauilo</t>
  </si>
  <si>
    <t>H-33</t>
  </si>
  <si>
    <t>Laupahoehoe</t>
  </si>
  <si>
    <t>North Hilo</t>
  </si>
  <si>
    <t>H-8</t>
  </si>
  <si>
    <t>Honomu</t>
  </si>
  <si>
    <t>Paukaa-Wailea</t>
  </si>
  <si>
    <t>Kulaimano</t>
  </si>
  <si>
    <t>This project area is within 2 miles of the existing municipal Kulaimano wastewater service area. There are currently no Hawaiʻi County plans to extend service to this area. However, the Kulaimano WWTP may have limited available capacity to serve all or part of the project area, depending on how capacity is allocated among future connections in surrounding areas.</t>
  </si>
  <si>
    <t>H-9</t>
  </si>
  <si>
    <t>Wainaku West</t>
  </si>
  <si>
    <t>Hilo: Upper Waiakea Forest Reserve</t>
  </si>
  <si>
    <t>Hilo WWTP</t>
  </si>
  <si>
    <t>This project area is within 2 miles of the existing municipal Hilo wastewater service area. There are currently no Hawaiʻi County plans to extend service to this area. However, the Hilo WWTP may have limited available capacity to serve all or part of the project area, depending on how capacity is allocated among future connections in surrounding areas.</t>
  </si>
  <si>
    <t>H-10</t>
  </si>
  <si>
    <t>Wainaku</t>
  </si>
  <si>
    <t>H-34</t>
  </si>
  <si>
    <t>Ponahawai</t>
  </si>
  <si>
    <t>Hilo: Kahuku-Kaumana</t>
  </si>
  <si>
    <t>This project area is within 2 miles of the existing municipal Hilo wastewater service area. There are currently no Hawaiʻi County plans to extend service to this area.</t>
  </si>
  <si>
    <t>H-35</t>
  </si>
  <si>
    <t>Kaūmana Homesteads</t>
  </si>
  <si>
    <t>H-11</t>
  </si>
  <si>
    <t>Kaūmana</t>
  </si>
  <si>
    <t>H-12</t>
  </si>
  <si>
    <t>West Hilo</t>
  </si>
  <si>
    <t>Hilo:  Piihonua-Kaumana</t>
  </si>
  <si>
    <t>H-13</t>
  </si>
  <si>
    <t>Hilo</t>
  </si>
  <si>
    <t>Hilo:  Villa Franca-Kaikoo</t>
  </si>
  <si>
    <t>H-14</t>
  </si>
  <si>
    <t>South Hilo</t>
  </si>
  <si>
    <t>Hilo:  Puainako</t>
  </si>
  <si>
    <t>H-36</t>
  </si>
  <si>
    <t>Keaau</t>
  </si>
  <si>
    <t>H-37</t>
  </si>
  <si>
    <t>Mountain View</t>
  </si>
  <si>
    <t>Volcano-Mt. View</t>
  </si>
  <si>
    <t>H-15</t>
  </si>
  <si>
    <t>Keaukaha</t>
  </si>
  <si>
    <t>Hilo: Keaukaha-Panaewa</t>
  </si>
  <si>
    <t>H-38</t>
  </si>
  <si>
    <t>Tiki Gardens</t>
  </si>
  <si>
    <t>Orchidland-Ainaloa</t>
  </si>
  <si>
    <t>M-1</t>
  </si>
  <si>
    <t>Waikapu</t>
  </si>
  <si>
    <t>Maui</t>
  </si>
  <si>
    <t>Waihee-Waikapu</t>
  </si>
  <si>
    <t>Wailuku-Kahului</t>
  </si>
  <si>
    <t>Based on a March 2026 meeting with the Maui County Department of Environmental Management, there are two projects under design and planned for county sewer service in this area. A Maui County study will be conducted to determine additional capacity at the Wailuku-Kahului WWTP. A Central Maui Wastewater Reclamation Facility is also planned.
See relevant document(s) below.</t>
  </si>
  <si>
    <t>https://go.hawaii.edu/mCw</t>
  </si>
  <si>
    <t>https://go.hawaii.edu/iXi</t>
  </si>
  <si>
    <t>M-2</t>
  </si>
  <si>
    <t>Old Wailuku Heights</t>
  </si>
  <si>
    <t>Kamaile St.</t>
  </si>
  <si>
    <t>Based on a March 2026 meeting with the Maui County Department of Environmental Management, this project area is under evalauation and is in the CIP 5+ years from now, however, steep slope and terrain conditions may pose challenges. A Maui County study will be conducted to determine additional capacity at the Wailuku-Kahului WWTP. A Central Maui Wastewater Reclamation Facility is also planned.
See relevant document(s) below.</t>
  </si>
  <si>
    <t>M-3</t>
  </si>
  <si>
    <t>Waihehe</t>
  </si>
  <si>
    <t>Based on a March 2026 meeting with Maui County Department of Environmental Management, this project area is being looked at by an in-house study. It is not currently in a any plan. A Maui County study will be conducted to determine additional capacity at the Wailuku-Kahului WWTP. A Central Maui Wastewater Reclamation Facility is also planned.
See relevant document(s) below.</t>
  </si>
  <si>
    <t>M-4</t>
  </si>
  <si>
    <t>Wahikuli</t>
  </si>
  <si>
    <t>Kahoma</t>
  </si>
  <si>
    <t>Lahaina WWTP</t>
  </si>
  <si>
    <t>Yes, with exceptions.</t>
  </si>
  <si>
    <t>Based on a March 2026 meeting with Maui County Department of Environmental Management, this project area has been studied through an EPA-funded project, however, the project is not currenlty funded. The Lahaina WWTP has capacity, however NPDES permit discussions may not allow the connection of more homes at this time.
See relevant document(s) below.</t>
  </si>
  <si>
    <t>M-7</t>
  </si>
  <si>
    <t>Maui Meadows</t>
  </si>
  <si>
    <t>Kula Makai</t>
  </si>
  <si>
    <t>Kihei WWTP</t>
  </si>
  <si>
    <t>Makena Resort</t>
  </si>
  <si>
    <t>Based on a March 2026 meeting with the Maui County Department of Environmental Management, the county is not planning to implement a project in this area. The Kihei WWTP may have some capacity, but vacant properties may be first in line to be connected. 
See relevant document(s) below.</t>
  </si>
  <si>
    <t>https://go.hawaii.edu/iXR</t>
  </si>
  <si>
    <t>M-8</t>
  </si>
  <si>
    <t>Kula</t>
  </si>
  <si>
    <t>Lava Fields</t>
  </si>
  <si>
    <t>The majority of the Makawao-Pukalani-Kula Community Plan area is served by individual cesspools/septic tanks. It is expected that new developments in the Upcountry area, aside from those in Hāli`imaile, will all be served by septic systems as required by the State Department of Health
See relevant document(s) below.</t>
  </si>
  <si>
    <t>M-9</t>
  </si>
  <si>
    <t>ʻŌmaʻopio</t>
  </si>
  <si>
    <t>M-14</t>
  </si>
  <si>
    <t>Pukalani</t>
  </si>
  <si>
    <t>Aapueo Parkway</t>
  </si>
  <si>
    <t>Pukalani WWTP</t>
  </si>
  <si>
    <t>The surrounding area is served by a private system (Hawaiʻi Water Service). Maui County is not involved. Private package plant; no incentive to expand..
See relevant document(s) below.</t>
  </si>
  <si>
    <t>M-15</t>
  </si>
  <si>
    <t>Makawao</t>
  </si>
  <si>
    <t>Haliimaile</t>
  </si>
  <si>
    <t>Based on an October 2025 meeting with the Maui County Department of Environmental Management, the county did a rough study ~6–7 yrs ago ($300–400 M, now likely double) $600M+, not published. Corollo is also reviewing this area.
See relevant document(s) below.</t>
  </si>
  <si>
    <t>M-10</t>
  </si>
  <si>
    <t>Haiku</t>
  </si>
  <si>
    <t>East Haiku</t>
  </si>
  <si>
    <t>Based on an October 2025 meeting with the Maui County Department of Environmental Management, this area is low density and potentially suited only for decentralized or on-site systems
See relevant document(s) below.</t>
  </si>
  <si>
    <t>M-11</t>
  </si>
  <si>
    <t>M-12</t>
  </si>
  <si>
    <t>Hana</t>
  </si>
  <si>
    <t>This area is not in proximty to county or private systems and is potentially suited only for decentralized or on-site systems
See relevant document(s) below.</t>
  </si>
  <si>
    <t>M-13</t>
  </si>
  <si>
    <t>Paʻuwela</t>
  </si>
  <si>
    <t>Mo-1</t>
  </si>
  <si>
    <t>Puili and Pano Pl</t>
  </si>
  <si>
    <t>Molokai</t>
  </si>
  <si>
    <t>East Molokai</t>
  </si>
  <si>
    <t>Kaunakakai Wastewater Treatment Plant</t>
  </si>
  <si>
    <t>Based on an October 2025 meeting with the Maui County Department of Environmental Management, topography prevents county sewer expansion to this area. The closest treatment plant - Kaunakakai WWTP is located in a sea level rise zone and may need to be relocated. 
See relevant document(s) below.</t>
  </si>
  <si>
    <t>https://go.hawaii.edu/iXK</t>
  </si>
  <si>
    <t>Mo-2</t>
  </si>
  <si>
    <t>North Kalae Hwy</t>
  </si>
  <si>
    <t>West Molokai</t>
  </si>
  <si>
    <t>Kualapuu Sewerage System</t>
  </si>
  <si>
    <t>Based on an October 2025 meeting with the Maui County Department of Environmental Management, topography prevents county sewer expansion to this area.
See relevant document(s) below.</t>
  </si>
  <si>
    <t>O-1</t>
  </si>
  <si>
    <t>Waimanalo Beach</t>
  </si>
  <si>
    <t>Oahu</t>
  </si>
  <si>
    <t>Waimanalo Bay Beach Park</t>
  </si>
  <si>
    <t>Waimanalo Wastewater Treatment Plant</t>
  </si>
  <si>
    <t>This project area has been identified in the Six-Year CIP and Budget FY 2026-2031. Relevant document (page 224) : https://go.hawaii.edu/m8T. A study for WWTP capacity is underway.</t>
  </si>
  <si>
    <t xml:space="preserve">https://go.hawaii.edu/8Xi </t>
  </si>
  <si>
    <t>O-2</t>
  </si>
  <si>
    <t>Kalaheo Avenue</t>
  </si>
  <si>
    <t>This project area has been identified in the Six-Year CIP and Budget FY 2026-2031. Relevant document (page 222) : https://go.hawaii.edu/m8T
See relevant document(s) below.</t>
  </si>
  <si>
    <t>O-3</t>
  </si>
  <si>
    <t>Ahuimanu</t>
  </si>
  <si>
    <t>Kahaluu-Waikane</t>
  </si>
  <si>
    <t>Project Planning funds included in the Fiscal Year 2025 CIP Budget.  Project title "Kahaluu Sewers, Section 3, Improvement District".  Planning contract in process.
See relevant document(s) below.</t>
  </si>
  <si>
    <t>O-4</t>
  </si>
  <si>
    <t>Kahaluu</t>
  </si>
  <si>
    <t xml:space="preserve">According to a 10/14/25 meeting with Honolulu ENV, Project Planning funds are included in the Fiscal Year 2025 CIP Budget.  Project title "Kahaluu Sewers, Section 3, Improvement District". A planning contract is in process. Relevant document: 
https://go.hawaii.edu/m8T. Northward expansion may be limited. </t>
  </si>
  <si>
    <t>O-18</t>
  </si>
  <si>
    <t>Kaaawa</t>
  </si>
  <si>
    <t>According to a 10/14/25 meeting with Honolulu ENV, this project area is too far away from a City &amp; County of Honolulu system.
See relevant document(s) below.</t>
  </si>
  <si>
    <t xml:space="preserve">https://go.hawaii.edu/nXi  </t>
  </si>
  <si>
    <t>O-19</t>
  </si>
  <si>
    <t>Hauula</t>
  </si>
  <si>
    <t>O-5</t>
  </si>
  <si>
    <t>North Hauula</t>
  </si>
  <si>
    <t>Laie</t>
  </si>
  <si>
    <t>Laie WWTP (BYU-Hawaii)</t>
  </si>
  <si>
    <t>O-20</t>
  </si>
  <si>
    <t>Pupukea</t>
  </si>
  <si>
    <t>Sunset Beach</t>
  </si>
  <si>
    <t xml:space="preserve">https://go.hawaii.edu/iXF </t>
  </si>
  <si>
    <t>O-21</t>
  </si>
  <si>
    <t>Kawailoa</t>
  </si>
  <si>
    <t>O-6</t>
  </si>
  <si>
    <t>Waialua and Haleiwa</t>
  </si>
  <si>
    <t>Haleiwa</t>
  </si>
  <si>
    <t>Paalaa Kai Wastewater Treatment Plant; 768-4534 or 4535</t>
  </si>
  <si>
    <t>According to a 10/14/25 meeting with Honolulu ENV, this area is under review throuh the "Paalaa Kai Wastewater Facilities Plan". It has not been determined if a County System is feasible. Therefore, a Private System may be needed.
See relevant document(s) below.</t>
  </si>
  <si>
    <t>O-7</t>
  </si>
  <si>
    <t>Waialua</t>
  </si>
  <si>
    <t>Waialua District Park</t>
  </si>
  <si>
    <t>O-8</t>
  </si>
  <si>
    <t>Mokuleia</t>
  </si>
  <si>
    <t>O-9</t>
  </si>
  <si>
    <t>Makua Valley</t>
  </si>
  <si>
    <t>Waianae WWTP</t>
  </si>
  <si>
    <t>This project area will be in the FY 2027 CIP.</t>
  </si>
  <si>
    <t>https://go.hawaii.edu/aXi</t>
  </si>
  <si>
    <t>O-22</t>
  </si>
  <si>
    <t>Waianae Hawaiian Homeland</t>
  </si>
  <si>
    <t>Kaupuni Neighborhood Park</t>
  </si>
  <si>
    <t>O-11</t>
  </si>
  <si>
    <t>$</t>
  </si>
  <si>
    <t>Ewa Beach</t>
  </si>
  <si>
    <t>Keanui Drive-Hoomahana Street</t>
  </si>
  <si>
    <t>Honouliuli WWTP</t>
  </si>
  <si>
    <t>According to a 10/14/25 meeting with Honolulu ENV, ENV is trying to find a way to proceed with the project by addressing community concerns.
See relevant document(s) below.</t>
  </si>
  <si>
    <t>O-12</t>
  </si>
  <si>
    <t>Kaimuki</t>
  </si>
  <si>
    <t>Kaimuki: Kapiolani Community College</t>
  </si>
  <si>
    <t>Sand Island WWTP/Synagro</t>
  </si>
  <si>
    <t>This project area will be included in the FY 2027 CIP.</t>
  </si>
  <si>
    <t>https://go.hawaii.edu/iXb</t>
  </si>
  <si>
    <t>O-13</t>
  </si>
  <si>
    <t>Diamond head</t>
  </si>
  <si>
    <t>Kapiolani Park</t>
  </si>
  <si>
    <t>According to a 10/14/25 meeting with Honolulu ENV, Project Planning funds are included in Fiscal Year 2025 CIP Budget.  Project title "Diamond Head Sewers, Improvement District".  Planning contract in process. Relevant document: https://go.hawaii.edu/m8T
See relevant document(s) below.</t>
  </si>
  <si>
    <t>O-14</t>
  </si>
  <si>
    <t>Diamond Head</t>
  </si>
  <si>
    <t>K-13</t>
  </si>
  <si>
    <t>Kipuka St</t>
  </si>
  <si>
    <t>Kauai</t>
  </si>
  <si>
    <t>Koloa-Poipu</t>
  </si>
  <si>
    <t>Poipu Wastewater Reclamation Facility</t>
  </si>
  <si>
    <t>Hyatt Regency Kauai - Grand Hyatt</t>
  </si>
  <si>
    <t>There are currently no known plans for centralized sewer service; however, the area's density supports consideration of centralized wastewater infrastructure.</t>
  </si>
  <si>
    <t>https://go.hawaii.edu/sCm</t>
  </si>
  <si>
    <t>K-14</t>
  </si>
  <si>
    <t>Hoona Rd</t>
  </si>
  <si>
    <t>Omao-Kukuiula</t>
  </si>
  <si>
    <t>K-15</t>
  </si>
  <si>
    <t>Koloa</t>
  </si>
  <si>
    <t>K-16</t>
  </si>
  <si>
    <t>Omao</t>
  </si>
  <si>
    <t xml:space="preserve">There are currently no plans for centralized sewer service; however, the area's density supports consideration of centralized wastewater infrastructure. Despite the project area's proximity to an existing private wastewater service area, its size and geographic boundaries indicate connection to this existing system may be infeasible. </t>
  </si>
  <si>
    <t>https://go.hawaii.edu/gXi</t>
  </si>
  <si>
    <t>K-17</t>
  </si>
  <si>
    <t>Lawai</t>
  </si>
  <si>
    <t>K-19</t>
  </si>
  <si>
    <t>Kalaheo</t>
  </si>
  <si>
    <t>Kalaheo-Kalawai Park</t>
  </si>
  <si>
    <t>K-1</t>
  </si>
  <si>
    <t>Kekaha</t>
  </si>
  <si>
    <t>Kekaha-Waimea</t>
  </si>
  <si>
    <t>Waimea Wastewater Treatment Plant</t>
  </si>
  <si>
    <t>According to a 10/8/25 meeting with the Kauai Division of Wastewater Management, the county identifies this as one of the highest priority low hanging fruit areas. However, the current wastewater treatment plant lacks capacity and sits in a tsunami zone; relocation may be required.</t>
  </si>
  <si>
    <t>K-11</t>
  </si>
  <si>
    <t>Haena</t>
  </si>
  <si>
    <t>Haena-Hanalei</t>
  </si>
  <si>
    <t>There are currently no plans for centralized sewer service; however, the area's density supports consideration of centralized wastewater infrastructure.</t>
  </si>
  <si>
    <t>K-20</t>
  </si>
  <si>
    <t>Hanalei</t>
  </si>
  <si>
    <t>Princeville Resort</t>
  </si>
  <si>
    <t>The Hanalei Initiative has completed a USDA-funded feasibility study evaluating area-wide wastewater options for Hanalei’s remaining cesspools and older septic systems. The effort has now moved into the next planning phase, with the Hanalei Initiative working with EPA to begin a Preliminary Engineering Report for a liquid pressure sewer system. According to a 10/8/25 meeting with the Kauai Division of Wastewater Management, there could be significant groundwater and shoreline constraints if there were to be a project in this area.
See relevant document(s) below.</t>
  </si>
  <si>
    <t>K-12</t>
  </si>
  <si>
    <t>Kilauea</t>
  </si>
  <si>
    <t>Kalihiwai-Kilauea</t>
  </si>
  <si>
    <t>https://go.hawaii.edu/iXc</t>
  </si>
  <si>
    <t>K-2</t>
  </si>
  <si>
    <t>Kapaa/Kawaihau</t>
  </si>
  <si>
    <t>Kapaa Town</t>
  </si>
  <si>
    <t>Wailua WWTP</t>
  </si>
  <si>
    <t>According to a 10/8/25 meeting with the Kauai Division of Wastewater Management, the density of this area merits connection and could be technically feasible, but may not be economically feasible. The Wailua WWTP is in a tsunami zone and may be relocated before additional collection to this plant can be considered.
See relevant document(s) below.</t>
  </si>
  <si>
    <t>https://go.hawaii.edu/iX6</t>
  </si>
  <si>
    <t>K-3</t>
  </si>
  <si>
    <t>Apopo Rd</t>
  </si>
  <si>
    <t>Kapahi</t>
  </si>
  <si>
    <t>According to a 10/8/25 meeting with the Kauai Division of Wastewater Management, the density of this area merits connection and and could be technically feasible, but may not be economically feasible. The Wailua WWTP is in a tsunami zone and may be relocated before additional collection to this plant can be considered.
See relevant document(s) below.</t>
  </si>
  <si>
    <t>K-4</t>
  </si>
  <si>
    <t>Kapaa</t>
  </si>
  <si>
    <t>K-5</t>
  </si>
  <si>
    <t>Wailua</t>
  </si>
  <si>
    <t>Wailua Homesteads</t>
  </si>
  <si>
    <t xml:space="preserve">According to a 10/8/25 meeting with the Kauai Division of Wastewater Management, the density of this area merits connection. The Wailua WWTP is in a tsunami zone and may be relocated before additional collection to this plant can be considered.
See relevant document(s) below. </t>
  </si>
  <si>
    <t>K-6</t>
  </si>
  <si>
    <t>Olohena</t>
  </si>
  <si>
    <t>According to a 10/8/25 meeting with the Kauai Division of Wastewater Management, this area may be feasible for a regional facility, however, there are no current plans. The closest existing plant: Wailua WWTP is in a tsunami zone and may be relocated before additional collection to this plant can be considered.
See relevant document(s) below.</t>
  </si>
  <si>
    <t>K-7</t>
  </si>
  <si>
    <t>Wailua Houselots</t>
  </si>
  <si>
    <t>K-8</t>
  </si>
  <si>
    <t>Lihue</t>
  </si>
  <si>
    <t>Lihue Wastewater Treatment Plant</t>
  </si>
  <si>
    <t xml:space="preserve">According to a 10/8/25 meeting with the Kauai Division of Wastewater Management, this area may be able to be connected to county sewer in the future, however, there are no current plans. </t>
  </si>
  <si>
    <t>K-9</t>
  </si>
  <si>
    <t>Pua Loke, Ulu Mahi, Ulu Ko</t>
  </si>
  <si>
    <t>Lihue-Puhi Wastewater Facility</t>
  </si>
  <si>
    <t xml:space="preserve">According to a 10/8/25 meeting with the Kauai Division of Wastewater Management, this area is within 2 miles of the county wastewater service area, but geographic boundaries prevent the expansion of county sewer service to this area. The project area is also within 2 miles of the private Lihue-Puhi wastewater service area. </t>
  </si>
  <si>
    <t>K-10</t>
  </si>
  <si>
    <t>Puhi</t>
  </si>
  <si>
    <t>Hanamaulu-Lower Puhi</t>
  </si>
  <si>
    <t xml:space="preserve">According to a 10/8/25 meeting with the Kauai Division of Wastewater Management, this area is within 2 miles of the county wastewater service area, but geographic boundaries prevent the expansion of county sewer service to this area. The project area is also within 2 miles of a private wastewater service area. </t>
  </si>
  <si>
    <t>https://go.hawaii.edu/9Xi</t>
  </si>
  <si>
    <t>O-15</t>
  </si>
  <si>
    <t>Tantalus</t>
  </si>
  <si>
    <t>Judd Hillside-Lowrey Avenue</t>
  </si>
  <si>
    <t>According to a 10/14/25 meeting with Honolulu ENV, an LPSS system is possible but it is very costly so the City will most likely not execute a project in this area unless other regulatory demands on the CIP budget are relaxed.
See relevant document(s) below.</t>
  </si>
  <si>
    <t>O-16</t>
  </si>
  <si>
    <t>Aiea Heights</t>
  </si>
  <si>
    <t>According to a 5/15/25 meeting with Honolulu ENV, City Council was reviewing the budget for upcoming fiscal year. The project is dependent on future appropriations. The project area is shown in Fiscal Year 2025 CIP Budget to start in a future year. Relevant document: https://go.hawaii.edu/m8T
See relevant document(s) below.</t>
  </si>
  <si>
    <t>O-17</t>
  </si>
  <si>
    <t>Kahaluu - Kamehameha HWY</t>
  </si>
  <si>
    <t>According to a 10/14/25 meeting with Honolulu ENV, Project Planning funds for this project area are included in the Fiscal Year 2024 CIP Budget.  Project title "Kamehameha Highway Sewers, Improvement District, KÄneâ€˜ohe".  Planning contract underway. Relevant document: https://go.hawaii.edu/m8T
See relevant document(s) below.</t>
  </si>
  <si>
    <t>M-5</t>
  </si>
  <si>
    <t>Pakele Place</t>
  </si>
  <si>
    <t>North Wailuku</t>
  </si>
  <si>
    <t>Based on a March 2026 meeting with Maui County Department of Environmental Management, this project area has been identified as a potential area to be connected to county sewer. An in-house study has been conducted. A Maui County study will be conducted to determine additional capacity at the Wailuku-Kahului WWTP. A Central Maui Wastewater Reclamation Facility is also planned.
See relevant document(s) below.</t>
  </si>
  <si>
    <t>M-6</t>
  </si>
  <si>
    <t>Based on a March 2026 meeting with the Maui County Department of Environmental Management, the county does not have plans for a project in this area. A Maui County study will be conducted to determine additional capacity at the Wailuku-Kahului WWTP. A Central Maui Wastewater Reclamation Facility is also planned.
See relevant document(s) below.</t>
  </si>
  <si>
    <t>H-42</t>
  </si>
  <si>
    <t>Puako</t>
  </si>
  <si>
    <t>Kawaihae - Anaeho'omalu</t>
  </si>
  <si>
    <t>Puako community is pursuing a sewer line connection to a nearby private treatment plant.</t>
  </si>
  <si>
    <t xml:space="preserve">https://go.hawaii.edu/iXD </t>
  </si>
  <si>
    <t>K-18</t>
  </si>
  <si>
    <t>Anahola</t>
  </si>
  <si>
    <t xml:space="preserve">This project area is on DHHL Land and not in proximity to an exister centralized sewer system. There are historical documents that support feasibility of centralized treatment. See relevant document(s) below </t>
  </si>
  <si>
    <t>https://go.hawaii.edu/FFm</t>
  </si>
  <si>
    <t>K-21</t>
  </si>
  <si>
    <t>Hanapepe</t>
  </si>
  <si>
    <t>Eleele WWTP</t>
  </si>
  <si>
    <t>Yes, but not for every area</t>
  </si>
  <si>
    <t>O-10</t>
  </si>
  <si>
    <t>Waianae</t>
  </si>
  <si>
    <t>According to a 10/14/25 meeting with Honolulu ENV, only the subdivision along Piliuka Place was identified through the Waianae Wastewater Facilities Plan as being feasible for a County System. The area that is feasible for a county system will be included in the FY 2027 CIP. A study is being conducted to determine if the Waianae WWTP has capacity for additional homes.</t>
  </si>
  <si>
    <t>Collection_LF</t>
  </si>
  <si>
    <t>Neighborhood_Pumps</t>
  </si>
  <si>
    <t>Conveyance_LF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</si>
</sst>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name val="Calibri"/>
    </font>
    <font>
      <sz val="11"/>
      <color rgb="FF3F3F76"/>
      <name val="Calibri"/>
      <family val="2"/>
      <scheme val="minor"/>
    </font>
    <font>
      <b/>
      <sz val="11"/>
      <color theme="1"/>
      <name val="Calibri"/>
      <family val="2"/>
      <scheme val="minor"/>
    </font>
    <font>
      <b/>
      <sz val="12"/>
      <name val="Calibri"/>
      <family val="2"/>
    </font>
    <font>
      <b/>
      <sz val="11"/>
      <color rgb="FF3F3F76"/>
      <name val="Calibri"/>
      <family val="2"/>
      <scheme val="minor"/>
    </font>
    <font>
      <b/>
      <sz val="10"/>
      <name val="Arial"/>
      <family val="2"/>
    </font>
    <font>
      <sz val="10"/>
      <name val="Arial"/>
      <family val="2"/>
    </font>
  </fonts>
  <fills count="5">
    <fill>
      <patternFill patternType="none"/>
    </fill>
    <fill>
      <patternFill patternType="gray125"/>
    </fill>
    <fill>
      <patternFill patternType="solid">
        <fgColor rgb="FFE6E6E6"/>
        <bgColor rgb="FFE6E6E6"/>
      </patternFill>
    </fill>
    <fill>
      <patternFill patternType="solid">
        <fgColor rgb="FFFFCC99"/>
      </patternFill>
    </fill>
    <fill>
      <patternFill patternType="solid">
        <fgColor indexed="22"/>
      </patternFill>
    </fill>
  </fills>
  <borders count="3">
    <border>
      <left/>
      <right/>
      <top/>
      <bottom/>
      <diagonal/>
    </border>
    <border>
      <left/>
      <right/>
      <top/>
      <bottom style="medium">
        <color rgb="FF000000"/>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1" fillId="2" borderId="1">
      <alignment horizontal="left"/>
    </xf>
    <xf numFmtId="0" fontId="2" fillId="3" borderId="2" applyNumberFormat="0" applyAlignment="0" applyProtection="0"/>
  </cellStyleXfs>
  <cellXfs count="7">
    <xf numFmtId="0" fontId="0" fillId="0" borderId="0" xfId="0"/>
    <xf numFmtId="0" fontId="2" fillId="3" borderId="2" xfId="2" applyAlignment="1">
      <alignment horizontal="center"/>
    </xf>
    <xf numFmtId="0" fontId="4" fillId="2" borderId="1" xfId="1" applyFont="1">
      <alignment horizontal="left"/>
    </xf>
    <xf numFmtId="0" fontId="5" fillId="3" borderId="2" xfId="2" applyFont="1" applyAlignment="1">
      <alignment horizontal="center"/>
    </xf>
    <xf numFmtId="0" fontId="3" fillId="0" borderId="0" xfId="0" applyFont="1"/>
    <xf numFmtId="0" fontId="6" fillId="4" borderId="0" xfId="0" applyFont="1" applyFill="1" applyAlignment="1">
      <alignment horizontal="center"/>
    </xf>
    <xf numFmtId="0" fontId="7" fillId="0" borderId="0" xfId="0" applyFont="1" applyAlignment="1">
      <alignment horizontal="center"/>
    </xf>
  </cellXfs>
  <cellStyles count="3">
    <cellStyle name="Input" xfId="2" builtinId="20"/>
    <cellStyle name="Normal" xfId="0" builtinId="0"/>
    <cellStyle name="STYLE0"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3"/>
  <sheetViews>
    <sheetView tabSelected="1" topLeftCell="N1" workbookViewId="0">
      <pane ySplit="1" topLeftCell="A2" activePane="bottomLeft" state="frozen"/>
      <selection activeCell="L1" sqref="L1"/>
      <selection pane="bottomLeft" activeCell="AC10" sqref="AC10"/>
    </sheetView>
  </sheetViews>
  <sheetFormatPr defaultRowHeight="14.5" x14ac:dyDescent="0.35"/>
  <cols>
    <col min="27" max="28" width="22.81640625" customWidth="1"/>
    <col min="29" max="29" width="22.1796875" style="1" customWidth="1"/>
    <col min="30" max="30" width="21.453125" style="1" customWidth="1"/>
    <col min="31" max="31" width="19.7265625" style="1" customWidth="1"/>
    <col min="32" max="33" width="19.90625" style="1" customWidth="1"/>
    <col min="34" max="34" width="21.6328125" style="1" customWidth="1"/>
    <col min="35" max="35" width="27.6328125" style="1" customWidth="1"/>
    <col min="36" max="36" width="25.08984375" style="1" customWidth="1"/>
  </cols>
  <sheetData>
    <row r="1" spans="1:38" s="4" customFormat="1" ht="16" thickBot="1" x14ac:dyDescent="0.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417</v>
      </c>
      <c r="AB1" s="2" t="s">
        <v>418</v>
      </c>
      <c r="AC1" s="5" t="s">
        <v>419</v>
      </c>
      <c r="AD1" s="3" t="s">
        <v>26</v>
      </c>
      <c r="AE1" s="3" t="s">
        <v>27</v>
      </c>
      <c r="AF1" s="3" t="s">
        <v>28</v>
      </c>
      <c r="AG1" s="3" t="s">
        <v>29</v>
      </c>
      <c r="AH1" s="3" t="s">
        <v>30</v>
      </c>
      <c r="AI1" s="3" t="s">
        <v>31</v>
      </c>
      <c r="AJ1" s="3" t="s">
        <v>32</v>
      </c>
      <c r="AK1" s="3" t="s">
        <v>33</v>
      </c>
      <c r="AL1" s="3" t="s">
        <v>28</v>
      </c>
    </row>
    <row r="2" spans="1:38" x14ac:dyDescent="0.35">
      <c r="A2">
        <v>5</v>
      </c>
      <c r="B2" t="s">
        <v>53</v>
      </c>
      <c r="C2" t="s">
        <v>54</v>
      </c>
      <c r="D2">
        <v>140000</v>
      </c>
      <c r="E2">
        <v>8600000</v>
      </c>
      <c r="F2" t="s">
        <v>55</v>
      </c>
      <c r="G2" t="s">
        <v>37</v>
      </c>
      <c r="H2" t="s">
        <v>56</v>
      </c>
      <c r="I2">
        <v>0</v>
      </c>
      <c r="J2">
        <v>0</v>
      </c>
      <c r="K2">
        <v>58</v>
      </c>
      <c r="L2">
        <v>60</v>
      </c>
      <c r="O2">
        <v>3785</v>
      </c>
      <c r="P2">
        <v>2272</v>
      </c>
      <c r="Q2">
        <v>16680</v>
      </c>
      <c r="R2" t="s">
        <v>57</v>
      </c>
      <c r="S2" t="s">
        <v>58</v>
      </c>
      <c r="T2" t="s">
        <v>59</v>
      </c>
      <c r="U2" t="s">
        <v>60</v>
      </c>
      <c r="V2" t="s">
        <v>61</v>
      </c>
      <c r="Y2">
        <v>3381.0089863812468</v>
      </c>
      <c r="Z2">
        <v>362918.00350684841</v>
      </c>
      <c r="AA2">
        <f>AE2+AG2</f>
        <v>247793.85231887849</v>
      </c>
      <c r="AB2">
        <f>AI2</f>
        <v>0</v>
      </c>
      <c r="AC2" s="6">
        <v>65000</v>
      </c>
      <c r="AD2" s="1">
        <v>178</v>
      </c>
      <c r="AE2" s="1">
        <v>247793.85231887849</v>
      </c>
      <c r="AK2" s="1">
        <v>91</v>
      </c>
      <c r="AL2" s="1">
        <v>87</v>
      </c>
    </row>
    <row r="3" spans="1:38" x14ac:dyDescent="0.35">
      <c r="A3">
        <v>31</v>
      </c>
      <c r="B3" t="s">
        <v>148</v>
      </c>
      <c r="C3" t="s">
        <v>63</v>
      </c>
      <c r="D3">
        <v>270000</v>
      </c>
      <c r="E3">
        <v>44300000</v>
      </c>
      <c r="F3" t="s">
        <v>149</v>
      </c>
      <c r="G3" t="s">
        <v>37</v>
      </c>
      <c r="H3" t="s">
        <v>145</v>
      </c>
      <c r="I3">
        <v>0</v>
      </c>
      <c r="J3">
        <v>0</v>
      </c>
      <c r="K3">
        <v>166</v>
      </c>
      <c r="L3">
        <v>166</v>
      </c>
      <c r="M3" t="s">
        <v>146</v>
      </c>
      <c r="O3">
        <v>7048</v>
      </c>
      <c r="P3">
        <v>6286</v>
      </c>
      <c r="Q3">
        <v>46148</v>
      </c>
      <c r="R3" t="s">
        <v>57</v>
      </c>
      <c r="S3" t="s">
        <v>86</v>
      </c>
      <c r="T3" t="s">
        <v>147</v>
      </c>
      <c r="U3" t="s">
        <v>49</v>
      </c>
      <c r="V3" t="s">
        <v>76</v>
      </c>
      <c r="Y3">
        <v>2521.5539765881522</v>
      </c>
      <c r="Z3">
        <v>385079.19220713858</v>
      </c>
      <c r="AA3">
        <f t="shared" ref="AA3:AA66" si="0">AE3+AG3</f>
        <v>51448.960220125722</v>
      </c>
      <c r="AB3">
        <f t="shared" ref="AB3:AB66" si="1">AI3</f>
        <v>6</v>
      </c>
      <c r="AC3" s="6">
        <v>2233.6953817000026</v>
      </c>
      <c r="AD3" s="1">
        <v>177</v>
      </c>
      <c r="AE3" s="1">
        <v>42198.659595864658</v>
      </c>
      <c r="AF3" s="1">
        <v>55</v>
      </c>
      <c r="AG3" s="1">
        <v>9250.3006242610627</v>
      </c>
      <c r="AH3" s="1">
        <v>1979.2880316261389</v>
      </c>
      <c r="AI3" s="1">
        <v>6</v>
      </c>
      <c r="AJ3" s="1">
        <v>62</v>
      </c>
      <c r="AK3" s="1">
        <v>97</v>
      </c>
      <c r="AL3" s="1">
        <v>80</v>
      </c>
    </row>
    <row r="4" spans="1:38" x14ac:dyDescent="0.35">
      <c r="A4">
        <v>34</v>
      </c>
      <c r="B4" t="s">
        <v>156</v>
      </c>
      <c r="C4" t="s">
        <v>35</v>
      </c>
      <c r="D4">
        <v>310000</v>
      </c>
      <c r="E4">
        <v>93300000</v>
      </c>
      <c r="F4" t="s">
        <v>157</v>
      </c>
      <c r="G4" t="s">
        <v>37</v>
      </c>
      <c r="H4" t="s">
        <v>152</v>
      </c>
      <c r="I4">
        <v>0</v>
      </c>
      <c r="J4">
        <v>0</v>
      </c>
      <c r="K4">
        <v>305</v>
      </c>
      <c r="L4">
        <v>305</v>
      </c>
      <c r="M4" t="s">
        <v>146</v>
      </c>
      <c r="O4">
        <v>8079</v>
      </c>
      <c r="P4">
        <v>11549</v>
      </c>
      <c r="Q4">
        <v>84790</v>
      </c>
      <c r="R4" t="s">
        <v>57</v>
      </c>
      <c r="S4" t="s">
        <v>86</v>
      </c>
      <c r="T4" t="s">
        <v>147</v>
      </c>
      <c r="U4" t="s">
        <v>49</v>
      </c>
      <c r="V4" t="s">
        <v>76</v>
      </c>
      <c r="Y4">
        <v>5540.7586659705339</v>
      </c>
      <c r="Z4">
        <v>1734001.874130015</v>
      </c>
      <c r="AA4">
        <f t="shared" si="0"/>
        <v>546014.31365515245</v>
      </c>
      <c r="AB4">
        <f t="shared" si="1"/>
        <v>8</v>
      </c>
      <c r="AC4" s="6">
        <v>17273.889467279121</v>
      </c>
      <c r="AD4" s="1">
        <v>520</v>
      </c>
      <c r="AE4" s="1">
        <v>438913.58359191468</v>
      </c>
      <c r="AF4" s="1">
        <v>186</v>
      </c>
      <c r="AG4" s="1">
        <v>107100.7300632378</v>
      </c>
      <c r="AH4" s="1">
        <v>6492.9904160949163</v>
      </c>
      <c r="AI4" s="1">
        <v>8</v>
      </c>
      <c r="AJ4" s="1">
        <v>207</v>
      </c>
      <c r="AK4" s="1">
        <v>299</v>
      </c>
      <c r="AL4" s="1">
        <v>221</v>
      </c>
    </row>
    <row r="5" spans="1:38" x14ac:dyDescent="0.35">
      <c r="A5">
        <v>35</v>
      </c>
      <c r="B5" t="s">
        <v>158</v>
      </c>
      <c r="C5" t="s">
        <v>89</v>
      </c>
      <c r="D5">
        <v>90000</v>
      </c>
      <c r="E5">
        <v>170100000</v>
      </c>
      <c r="F5" t="s">
        <v>159</v>
      </c>
      <c r="G5" t="s">
        <v>37</v>
      </c>
      <c r="H5" t="s">
        <v>160</v>
      </c>
      <c r="I5">
        <v>0</v>
      </c>
      <c r="J5">
        <v>0</v>
      </c>
      <c r="K5">
        <v>1919</v>
      </c>
      <c r="L5">
        <v>1919</v>
      </c>
      <c r="M5" t="s">
        <v>146</v>
      </c>
      <c r="O5">
        <v>2341</v>
      </c>
      <c r="P5">
        <v>72663</v>
      </c>
      <c r="Q5">
        <v>533482</v>
      </c>
      <c r="R5" t="s">
        <v>57</v>
      </c>
      <c r="S5" t="s">
        <v>86</v>
      </c>
      <c r="T5" t="s">
        <v>147</v>
      </c>
      <c r="U5" t="s">
        <v>49</v>
      </c>
      <c r="V5" t="s">
        <v>76</v>
      </c>
      <c r="Y5">
        <v>12357.78297371376</v>
      </c>
      <c r="Z5">
        <v>9802371.6155507322</v>
      </c>
      <c r="AA5">
        <f t="shared" si="0"/>
        <v>3571131.0435856627</v>
      </c>
      <c r="AB5">
        <f t="shared" si="1"/>
        <v>41</v>
      </c>
      <c r="AC5" s="6">
        <v>10.527479627006016</v>
      </c>
      <c r="AD5" s="1">
        <v>2668</v>
      </c>
      <c r="AE5" s="1">
        <v>3271973.5305060782</v>
      </c>
      <c r="AF5" s="1">
        <v>551</v>
      </c>
      <c r="AG5" s="1">
        <v>299157.51307958452</v>
      </c>
      <c r="AH5" s="1">
        <v>41956.684808869257</v>
      </c>
      <c r="AI5" s="1">
        <v>41</v>
      </c>
      <c r="AJ5" s="1">
        <v>647</v>
      </c>
      <c r="AK5" s="1">
        <v>1995</v>
      </c>
      <c r="AL5" s="1">
        <v>673</v>
      </c>
    </row>
    <row r="6" spans="1:38" x14ac:dyDescent="0.35">
      <c r="A6">
        <v>36</v>
      </c>
      <c r="B6" t="s">
        <v>161</v>
      </c>
      <c r="C6" t="s">
        <v>63</v>
      </c>
      <c r="D6">
        <v>240000</v>
      </c>
      <c r="E6">
        <v>48200000</v>
      </c>
      <c r="F6" t="s">
        <v>162</v>
      </c>
      <c r="G6" t="s">
        <v>37</v>
      </c>
      <c r="H6" t="s">
        <v>163</v>
      </c>
      <c r="I6">
        <v>0</v>
      </c>
      <c r="J6">
        <v>198</v>
      </c>
      <c r="K6">
        <v>0</v>
      </c>
      <c r="L6">
        <v>198</v>
      </c>
      <c r="M6" t="s">
        <v>146</v>
      </c>
      <c r="O6">
        <v>6429</v>
      </c>
      <c r="P6">
        <v>7497</v>
      </c>
      <c r="Q6">
        <v>55044</v>
      </c>
      <c r="R6" t="s">
        <v>57</v>
      </c>
      <c r="S6" t="s">
        <v>86</v>
      </c>
      <c r="T6" t="s">
        <v>147</v>
      </c>
      <c r="U6" t="s">
        <v>49</v>
      </c>
      <c r="V6" t="s">
        <v>76</v>
      </c>
      <c r="Y6">
        <v>3590.3383920381129</v>
      </c>
      <c r="Z6">
        <v>645012.54343912122</v>
      </c>
      <c r="AA6">
        <f t="shared" si="0"/>
        <v>163170.66665189638</v>
      </c>
      <c r="AB6">
        <f t="shared" si="1"/>
        <v>4</v>
      </c>
      <c r="AC6" s="6">
        <v>354.91397987213389</v>
      </c>
      <c r="AD6" s="1">
        <v>235</v>
      </c>
      <c r="AE6" s="1">
        <v>125167.7496929614</v>
      </c>
      <c r="AF6" s="1">
        <v>62</v>
      </c>
      <c r="AG6" s="1">
        <v>38002.916958934991</v>
      </c>
      <c r="AH6" s="1">
        <v>4070.958692014075</v>
      </c>
      <c r="AI6" s="1">
        <v>4</v>
      </c>
      <c r="AJ6" s="1">
        <v>72</v>
      </c>
      <c r="AK6" s="1">
        <v>163</v>
      </c>
      <c r="AL6" s="1">
        <v>72</v>
      </c>
    </row>
    <row r="7" spans="1:38" x14ac:dyDescent="0.35">
      <c r="A7">
        <v>37</v>
      </c>
      <c r="B7" t="s">
        <v>164</v>
      </c>
      <c r="C7" t="s">
        <v>89</v>
      </c>
      <c r="D7">
        <v>70000</v>
      </c>
      <c r="E7">
        <v>367100000</v>
      </c>
      <c r="F7" t="s">
        <v>165</v>
      </c>
      <c r="G7" t="s">
        <v>37</v>
      </c>
      <c r="H7" t="s">
        <v>166</v>
      </c>
      <c r="I7">
        <v>0</v>
      </c>
      <c r="J7">
        <v>737</v>
      </c>
      <c r="K7">
        <v>4469</v>
      </c>
      <c r="L7">
        <v>5206</v>
      </c>
      <c r="M7" t="s">
        <v>146</v>
      </c>
      <c r="O7">
        <v>1862</v>
      </c>
      <c r="P7">
        <v>197124</v>
      </c>
      <c r="Q7">
        <v>1447268</v>
      </c>
      <c r="R7" t="s">
        <v>57</v>
      </c>
      <c r="S7" t="s">
        <v>86</v>
      </c>
      <c r="T7" t="s">
        <v>147</v>
      </c>
      <c r="U7" t="s">
        <v>49</v>
      </c>
      <c r="V7" t="s">
        <v>76</v>
      </c>
      <c r="Y7">
        <v>17426.49656292755</v>
      </c>
      <c r="Z7">
        <v>20682370.799349759</v>
      </c>
      <c r="AA7">
        <f t="shared" si="0"/>
        <v>9728583.0443990715</v>
      </c>
      <c r="AB7">
        <f t="shared" si="1"/>
        <v>92</v>
      </c>
      <c r="AC7" s="6">
        <v>1601.6577388005758</v>
      </c>
      <c r="AD7" s="1">
        <v>6983</v>
      </c>
      <c r="AE7" s="1">
        <v>8596309.2367063761</v>
      </c>
      <c r="AF7" s="1">
        <v>1506</v>
      </c>
      <c r="AG7" s="1">
        <v>1132273.8076926961</v>
      </c>
      <c r="AH7" s="1">
        <v>77041.408715621248</v>
      </c>
      <c r="AI7" s="1">
        <v>92</v>
      </c>
      <c r="AJ7" s="1">
        <v>1684</v>
      </c>
      <c r="AK7" s="1">
        <v>4886</v>
      </c>
      <c r="AL7" s="1">
        <v>2097</v>
      </c>
    </row>
    <row r="8" spans="1:38" x14ac:dyDescent="0.35">
      <c r="A8">
        <v>40</v>
      </c>
      <c r="B8" t="s">
        <v>172</v>
      </c>
      <c r="C8" t="s">
        <v>54</v>
      </c>
      <c r="D8">
        <v>120000</v>
      </c>
      <c r="E8">
        <v>22000000</v>
      </c>
      <c r="F8" t="s">
        <v>173</v>
      </c>
      <c r="G8" t="s">
        <v>37</v>
      </c>
      <c r="H8" t="s">
        <v>174</v>
      </c>
      <c r="I8">
        <v>0</v>
      </c>
      <c r="J8">
        <v>189</v>
      </c>
      <c r="K8">
        <v>0</v>
      </c>
      <c r="L8">
        <v>189</v>
      </c>
      <c r="M8" t="s">
        <v>146</v>
      </c>
      <c r="O8">
        <v>3074</v>
      </c>
      <c r="P8">
        <v>7156</v>
      </c>
      <c r="Q8">
        <v>52542</v>
      </c>
      <c r="R8" t="s">
        <v>57</v>
      </c>
      <c r="S8" t="s">
        <v>86</v>
      </c>
      <c r="T8" t="s">
        <v>147</v>
      </c>
      <c r="U8" t="s">
        <v>49</v>
      </c>
      <c r="V8" t="s">
        <v>76</v>
      </c>
      <c r="Y8">
        <v>4004.619142982956</v>
      </c>
      <c r="Z8">
        <v>672849.64959058468</v>
      </c>
      <c r="AA8">
        <f t="shared" si="0"/>
        <v>390536.15007726842</v>
      </c>
      <c r="AB8">
        <f t="shared" si="1"/>
        <v>0</v>
      </c>
      <c r="AC8" s="6">
        <v>500.87140754138181</v>
      </c>
      <c r="AD8" s="1">
        <v>246</v>
      </c>
      <c r="AE8" s="1">
        <v>390536.15007726842</v>
      </c>
      <c r="AK8" s="1">
        <v>246</v>
      </c>
      <c r="AL8" s="1"/>
    </row>
    <row r="9" spans="1:38" x14ac:dyDescent="0.35">
      <c r="A9">
        <v>11</v>
      </c>
      <c r="B9" t="s">
        <v>81</v>
      </c>
      <c r="C9" t="s">
        <v>35</v>
      </c>
      <c r="D9">
        <v>390000</v>
      </c>
      <c r="E9">
        <v>58200000</v>
      </c>
      <c r="F9" t="s">
        <v>82</v>
      </c>
      <c r="G9" t="s">
        <v>37</v>
      </c>
      <c r="H9" t="s">
        <v>83</v>
      </c>
      <c r="I9">
        <v>0</v>
      </c>
      <c r="J9">
        <v>148</v>
      </c>
      <c r="K9">
        <v>0</v>
      </c>
      <c r="L9">
        <v>148</v>
      </c>
      <c r="M9" t="s">
        <v>84</v>
      </c>
      <c r="O9">
        <v>10385</v>
      </c>
      <c r="P9">
        <v>5604</v>
      </c>
      <c r="Q9">
        <v>41144</v>
      </c>
      <c r="R9" t="s">
        <v>85</v>
      </c>
      <c r="S9" t="s">
        <v>86</v>
      </c>
      <c r="T9" t="s">
        <v>87</v>
      </c>
      <c r="U9" t="s">
        <v>49</v>
      </c>
      <c r="V9" t="s">
        <v>76</v>
      </c>
      <c r="Y9">
        <v>2889.368265999678</v>
      </c>
      <c r="Z9">
        <v>368882.37503220362</v>
      </c>
      <c r="AA9">
        <f t="shared" si="0"/>
        <v>253871.67284329049</v>
      </c>
      <c r="AB9">
        <f t="shared" si="1"/>
        <v>2</v>
      </c>
      <c r="AC9" s="6">
        <v>2681.6271459183608</v>
      </c>
      <c r="AD9" s="1">
        <v>130</v>
      </c>
      <c r="AE9" s="1">
        <v>72895.377008680982</v>
      </c>
      <c r="AF9" s="1">
        <v>97</v>
      </c>
      <c r="AG9" s="1">
        <v>180976.29583460951</v>
      </c>
      <c r="AH9" s="1">
        <v>1738.034471374061</v>
      </c>
      <c r="AI9" s="1">
        <v>2</v>
      </c>
      <c r="AJ9" s="1">
        <v>101</v>
      </c>
      <c r="AK9" s="1">
        <v>39</v>
      </c>
      <c r="AL9" s="1">
        <v>91</v>
      </c>
    </row>
    <row r="10" spans="1:38" x14ac:dyDescent="0.35">
      <c r="A10">
        <v>12</v>
      </c>
      <c r="B10" t="s">
        <v>88</v>
      </c>
      <c r="C10" t="s">
        <v>89</v>
      </c>
      <c r="D10">
        <v>80000</v>
      </c>
      <c r="E10">
        <v>123400000</v>
      </c>
      <c r="F10" t="s">
        <v>90</v>
      </c>
      <c r="G10" t="s">
        <v>37</v>
      </c>
      <c r="H10" t="s">
        <v>90</v>
      </c>
      <c r="I10">
        <v>1543</v>
      </c>
      <c r="J10">
        <v>5</v>
      </c>
      <c r="K10">
        <v>1</v>
      </c>
      <c r="L10">
        <v>1549</v>
      </c>
      <c r="M10" t="s">
        <v>84</v>
      </c>
      <c r="O10">
        <v>2104</v>
      </c>
      <c r="P10">
        <v>58653</v>
      </c>
      <c r="Q10">
        <v>430622</v>
      </c>
      <c r="R10" t="s">
        <v>85</v>
      </c>
      <c r="S10" t="s">
        <v>86</v>
      </c>
      <c r="T10" t="s">
        <v>87</v>
      </c>
      <c r="U10" t="s">
        <v>49</v>
      </c>
      <c r="V10" t="s">
        <v>76</v>
      </c>
      <c r="Y10">
        <v>9969.1438174935574</v>
      </c>
      <c r="Z10">
        <v>3909580.6253144308</v>
      </c>
      <c r="AA10">
        <f t="shared" si="0"/>
        <v>2468715.1225008126</v>
      </c>
      <c r="AB10">
        <f t="shared" si="1"/>
        <v>27</v>
      </c>
      <c r="AC10" s="6">
        <v>461.37251501833708</v>
      </c>
      <c r="AD10" s="1">
        <v>1577</v>
      </c>
      <c r="AE10" s="1">
        <v>2137643.4529993958</v>
      </c>
      <c r="AF10" s="1">
        <v>516</v>
      </c>
      <c r="AG10" s="1">
        <v>331071.66950141703</v>
      </c>
      <c r="AH10" s="1">
        <v>22285.47096260039</v>
      </c>
      <c r="AI10" s="1">
        <v>27</v>
      </c>
      <c r="AJ10" s="1">
        <v>566</v>
      </c>
      <c r="AK10" s="1">
        <v>867</v>
      </c>
      <c r="AL10" s="1">
        <v>710</v>
      </c>
    </row>
    <row r="11" spans="1:38" x14ac:dyDescent="0.35">
      <c r="A11">
        <v>1</v>
      </c>
      <c r="B11" t="s">
        <v>34</v>
      </c>
      <c r="C11" t="s">
        <v>35</v>
      </c>
      <c r="D11">
        <v>0</v>
      </c>
      <c r="E11">
        <v>0</v>
      </c>
      <c r="F11" t="s">
        <v>36</v>
      </c>
      <c r="G11" t="s">
        <v>37</v>
      </c>
      <c r="H11" t="s">
        <v>38</v>
      </c>
      <c r="I11">
        <v>0</v>
      </c>
      <c r="J11">
        <v>0</v>
      </c>
      <c r="K11">
        <v>1152</v>
      </c>
      <c r="L11">
        <v>1154</v>
      </c>
      <c r="O11">
        <v>0</v>
      </c>
      <c r="P11">
        <v>43852</v>
      </c>
      <c r="Q11">
        <v>320812</v>
      </c>
      <c r="R11" t="s">
        <v>39</v>
      </c>
      <c r="T11" t="s">
        <v>40</v>
      </c>
      <c r="U11" t="s">
        <v>41</v>
      </c>
      <c r="V11" t="s">
        <v>42</v>
      </c>
      <c r="Y11">
        <v>15151.17421128105</v>
      </c>
      <c r="Z11">
        <v>7681245.7619455634</v>
      </c>
      <c r="AA11">
        <f t="shared" si="0"/>
        <v>6910798.5012284722</v>
      </c>
      <c r="AB11">
        <f t="shared" si="1"/>
        <v>25</v>
      </c>
      <c r="AC11" s="6">
        <v>102882.59978224327</v>
      </c>
      <c r="AD11" s="1">
        <v>3937</v>
      </c>
      <c r="AE11" s="1">
        <v>6309287.375747879</v>
      </c>
      <c r="AF11" s="1">
        <v>881</v>
      </c>
      <c r="AG11" s="1">
        <v>601511.12548059365</v>
      </c>
      <c r="AH11" s="1">
        <v>35100.916004583523</v>
      </c>
      <c r="AI11" s="1">
        <v>25</v>
      </c>
      <c r="AJ11" s="1">
        <v>547</v>
      </c>
      <c r="AK11" s="1">
        <v>3043</v>
      </c>
      <c r="AL11" s="1">
        <v>894</v>
      </c>
    </row>
    <row r="12" spans="1:38" x14ac:dyDescent="0.35">
      <c r="A12">
        <v>2</v>
      </c>
      <c r="B12" t="s">
        <v>43</v>
      </c>
      <c r="C12" t="s">
        <v>35</v>
      </c>
      <c r="D12">
        <v>0</v>
      </c>
      <c r="E12">
        <v>0</v>
      </c>
      <c r="F12" t="s">
        <v>44</v>
      </c>
      <c r="G12" t="s">
        <v>37</v>
      </c>
      <c r="H12" t="s">
        <v>38</v>
      </c>
      <c r="I12">
        <v>0</v>
      </c>
      <c r="J12">
        <v>0</v>
      </c>
      <c r="K12">
        <v>213</v>
      </c>
      <c r="L12">
        <v>213</v>
      </c>
      <c r="O12">
        <v>0</v>
      </c>
      <c r="P12">
        <v>8094</v>
      </c>
      <c r="Q12">
        <v>59214</v>
      </c>
      <c r="R12" t="s">
        <v>39</v>
      </c>
      <c r="T12" t="s">
        <v>40</v>
      </c>
      <c r="U12" t="s">
        <v>41</v>
      </c>
      <c r="V12" t="s">
        <v>42</v>
      </c>
      <c r="Y12">
        <v>4903.759080150312</v>
      </c>
      <c r="Z12">
        <v>1494944.023001658</v>
      </c>
      <c r="AA12">
        <f t="shared" si="0"/>
        <v>1666094.342683746</v>
      </c>
      <c r="AB12">
        <f t="shared" si="1"/>
        <v>7</v>
      </c>
      <c r="AC12" s="6">
        <v>126615.03412731568</v>
      </c>
      <c r="AD12" s="1">
        <v>998</v>
      </c>
      <c r="AF12" s="1">
        <v>991</v>
      </c>
      <c r="AG12" s="1">
        <v>1666094.342683746</v>
      </c>
      <c r="AH12" s="1">
        <v>68566.407795195759</v>
      </c>
      <c r="AI12" s="1">
        <v>7</v>
      </c>
      <c r="AJ12" s="1">
        <v>667</v>
      </c>
      <c r="AK12" s="1"/>
      <c r="AL12" s="1">
        <v>998</v>
      </c>
    </row>
    <row r="13" spans="1:38" x14ac:dyDescent="0.35">
      <c r="A13">
        <v>6</v>
      </c>
      <c r="B13" t="s">
        <v>62</v>
      </c>
      <c r="C13" t="s">
        <v>63</v>
      </c>
      <c r="D13">
        <v>250000</v>
      </c>
      <c r="E13">
        <v>11000000</v>
      </c>
      <c r="F13" t="s">
        <v>64</v>
      </c>
      <c r="G13" t="s">
        <v>37</v>
      </c>
      <c r="H13" t="s">
        <v>65</v>
      </c>
      <c r="I13">
        <v>0</v>
      </c>
      <c r="J13">
        <v>0</v>
      </c>
      <c r="K13">
        <v>46</v>
      </c>
      <c r="L13">
        <v>43</v>
      </c>
      <c r="O13">
        <v>6756</v>
      </c>
      <c r="P13">
        <v>1628</v>
      </c>
      <c r="Q13">
        <v>11954</v>
      </c>
      <c r="R13" t="s">
        <v>57</v>
      </c>
      <c r="S13" t="s">
        <v>58</v>
      </c>
      <c r="T13" t="s">
        <v>66</v>
      </c>
      <c r="U13" t="s">
        <v>60</v>
      </c>
      <c r="V13" t="s">
        <v>67</v>
      </c>
      <c r="Y13">
        <v>3797.055355674147</v>
      </c>
      <c r="Z13">
        <v>486266.67500703648</v>
      </c>
      <c r="AA13">
        <f t="shared" si="0"/>
        <v>308272.62700651574</v>
      </c>
      <c r="AB13">
        <f t="shared" si="1"/>
        <v>0</v>
      </c>
      <c r="AC13" s="6">
        <v>77.126646716212605</v>
      </c>
      <c r="AD13" s="1">
        <v>228</v>
      </c>
      <c r="AE13" s="1">
        <v>305873.676949249</v>
      </c>
      <c r="AF13" s="1">
        <v>7</v>
      </c>
      <c r="AG13" s="1">
        <v>2398.9500572667512</v>
      </c>
      <c r="AH13" s="1">
        <v>744.00726208872197</v>
      </c>
      <c r="AK13" s="1">
        <v>221</v>
      </c>
      <c r="AL13" s="1">
        <v>7</v>
      </c>
    </row>
    <row r="14" spans="1:38" x14ac:dyDescent="0.35">
      <c r="A14">
        <v>3</v>
      </c>
      <c r="B14" t="s">
        <v>45</v>
      </c>
      <c r="C14" t="s">
        <v>35</v>
      </c>
      <c r="D14">
        <v>0</v>
      </c>
      <c r="E14">
        <v>0</v>
      </c>
      <c r="F14" t="s">
        <v>46</v>
      </c>
      <c r="G14" t="s">
        <v>37</v>
      </c>
      <c r="H14" t="s">
        <v>47</v>
      </c>
      <c r="I14">
        <v>0</v>
      </c>
      <c r="J14">
        <v>0</v>
      </c>
      <c r="K14">
        <v>187</v>
      </c>
      <c r="L14">
        <v>187</v>
      </c>
      <c r="O14">
        <v>0</v>
      </c>
      <c r="P14">
        <v>7106</v>
      </c>
      <c r="Q14">
        <v>51986</v>
      </c>
      <c r="R14" t="s">
        <v>39</v>
      </c>
      <c r="T14" t="s">
        <v>48</v>
      </c>
      <c r="U14" t="s">
        <v>49</v>
      </c>
      <c r="V14" t="s">
        <v>50</v>
      </c>
      <c r="Y14">
        <v>4930.5177593021144</v>
      </c>
      <c r="Z14">
        <v>1097117.9173963701</v>
      </c>
      <c r="AA14">
        <f t="shared" si="0"/>
        <v>1074730.9869477528</v>
      </c>
      <c r="AB14">
        <f t="shared" si="1"/>
        <v>5</v>
      </c>
      <c r="AC14" s="6">
        <v>186151.2499397817</v>
      </c>
      <c r="AD14" s="1">
        <v>850</v>
      </c>
      <c r="AE14" s="1">
        <v>176.12915786370311</v>
      </c>
      <c r="AF14" s="1">
        <v>858</v>
      </c>
      <c r="AG14" s="1">
        <v>1074554.857789889</v>
      </c>
      <c r="AH14" s="1">
        <v>59443.644822284499</v>
      </c>
      <c r="AI14" s="1">
        <v>5</v>
      </c>
      <c r="AJ14" s="1">
        <v>392</v>
      </c>
      <c r="AK14" s="1">
        <v>2</v>
      </c>
      <c r="AL14" s="1">
        <v>848</v>
      </c>
    </row>
    <row r="15" spans="1:38" x14ac:dyDescent="0.35">
      <c r="A15">
        <v>4</v>
      </c>
      <c r="B15" t="s">
        <v>51</v>
      </c>
      <c r="C15" t="s">
        <v>35</v>
      </c>
      <c r="D15">
        <v>0</v>
      </c>
      <c r="E15">
        <v>0</v>
      </c>
      <c r="F15" t="s">
        <v>52</v>
      </c>
      <c r="G15" t="s">
        <v>37</v>
      </c>
      <c r="H15" t="s">
        <v>47</v>
      </c>
      <c r="I15">
        <v>0</v>
      </c>
      <c r="J15">
        <v>0</v>
      </c>
      <c r="K15">
        <v>44</v>
      </c>
      <c r="L15">
        <v>44</v>
      </c>
      <c r="O15">
        <v>0</v>
      </c>
      <c r="P15">
        <v>1672</v>
      </c>
      <c r="Q15">
        <v>12232</v>
      </c>
      <c r="R15" t="s">
        <v>39</v>
      </c>
      <c r="T15" t="s">
        <v>48</v>
      </c>
      <c r="U15" t="s">
        <v>49</v>
      </c>
      <c r="V15" t="s">
        <v>42</v>
      </c>
      <c r="Y15">
        <v>1754.6327909466499</v>
      </c>
      <c r="Z15">
        <v>197941.15346409121</v>
      </c>
      <c r="AA15">
        <f t="shared" si="0"/>
        <v>90765.202506703092</v>
      </c>
      <c r="AB15">
        <f t="shared" si="1"/>
        <v>3</v>
      </c>
      <c r="AC15" s="6">
        <v>185354.14595917106</v>
      </c>
      <c r="AD15" s="1">
        <v>172</v>
      </c>
      <c r="AE15" s="1">
        <v>83622.161933535957</v>
      </c>
      <c r="AF15" s="1">
        <v>34</v>
      </c>
      <c r="AG15" s="1">
        <v>7143.0405731671308</v>
      </c>
      <c r="AH15" s="1">
        <v>1798.111971046194</v>
      </c>
      <c r="AI15" s="1">
        <v>3</v>
      </c>
      <c r="AJ15" s="1">
        <v>23</v>
      </c>
      <c r="AK15" s="1">
        <v>110</v>
      </c>
      <c r="AL15" s="1">
        <v>62</v>
      </c>
    </row>
    <row r="16" spans="1:38" x14ac:dyDescent="0.35">
      <c r="A16">
        <v>7</v>
      </c>
      <c r="B16" t="s">
        <v>68</v>
      </c>
      <c r="C16" t="s">
        <v>35</v>
      </c>
      <c r="D16">
        <v>0</v>
      </c>
      <c r="E16">
        <v>0</v>
      </c>
      <c r="F16" t="s">
        <v>69</v>
      </c>
      <c r="G16" t="s">
        <v>37</v>
      </c>
      <c r="H16" t="s">
        <v>70</v>
      </c>
      <c r="I16">
        <v>0</v>
      </c>
      <c r="J16">
        <v>0</v>
      </c>
      <c r="K16">
        <v>120</v>
      </c>
      <c r="L16">
        <v>120</v>
      </c>
      <c r="O16">
        <v>0</v>
      </c>
      <c r="P16">
        <v>4560</v>
      </c>
      <c r="Q16">
        <v>33360</v>
      </c>
      <c r="R16" t="s">
        <v>39</v>
      </c>
      <c r="T16" t="s">
        <v>48</v>
      </c>
      <c r="U16" t="s">
        <v>49</v>
      </c>
      <c r="Y16">
        <v>2064.595040716224</v>
      </c>
      <c r="Z16">
        <v>239206.46881460719</v>
      </c>
      <c r="AA16">
        <f t="shared" si="0"/>
        <v>88798.727828265371</v>
      </c>
      <c r="AB16">
        <f t="shared" si="1"/>
        <v>4</v>
      </c>
      <c r="AC16" s="6">
        <v>101000</v>
      </c>
      <c r="AD16" s="1">
        <v>190</v>
      </c>
      <c r="AF16" s="1">
        <v>134</v>
      </c>
      <c r="AG16" s="1">
        <v>88798.727828265371</v>
      </c>
      <c r="AH16" s="1">
        <v>41589.311812650332</v>
      </c>
      <c r="AI16" s="1">
        <v>4</v>
      </c>
      <c r="AJ16" s="1">
        <v>134</v>
      </c>
      <c r="AK16" s="1"/>
      <c r="AL16" s="1">
        <v>190</v>
      </c>
    </row>
    <row r="17" spans="1:38" x14ac:dyDescent="0.35">
      <c r="A17">
        <v>8</v>
      </c>
      <c r="B17" t="s">
        <v>71</v>
      </c>
      <c r="C17" t="s">
        <v>35</v>
      </c>
      <c r="D17">
        <v>0</v>
      </c>
      <c r="E17">
        <v>0</v>
      </c>
      <c r="F17" t="s">
        <v>72</v>
      </c>
      <c r="G17" t="s">
        <v>37</v>
      </c>
      <c r="H17" t="s">
        <v>73</v>
      </c>
      <c r="I17">
        <v>0</v>
      </c>
      <c r="J17">
        <v>0</v>
      </c>
      <c r="K17">
        <v>187</v>
      </c>
      <c r="L17">
        <v>187</v>
      </c>
      <c r="M17" t="s">
        <v>74</v>
      </c>
      <c r="O17">
        <v>0</v>
      </c>
      <c r="P17">
        <v>7106</v>
      </c>
      <c r="Q17">
        <v>51986</v>
      </c>
      <c r="R17" t="s">
        <v>75</v>
      </c>
      <c r="T17" t="s">
        <v>48</v>
      </c>
      <c r="U17" t="s">
        <v>49</v>
      </c>
      <c r="V17" t="s">
        <v>76</v>
      </c>
      <c r="Y17">
        <v>2992.7355476775729</v>
      </c>
      <c r="Z17">
        <v>564303.79307102517</v>
      </c>
      <c r="AA17">
        <f t="shared" si="0"/>
        <v>262830.04216907697</v>
      </c>
      <c r="AB17">
        <f t="shared" si="1"/>
        <v>3</v>
      </c>
      <c r="AC17" s="6">
        <v>31305.031771317845</v>
      </c>
      <c r="AD17" s="1">
        <v>216</v>
      </c>
      <c r="AE17" s="1">
        <v>211439.0345413243</v>
      </c>
      <c r="AF17" s="1">
        <v>60</v>
      </c>
      <c r="AG17" s="1">
        <v>51391.007627752653</v>
      </c>
      <c r="AH17" s="1">
        <v>2522.6932572928959</v>
      </c>
      <c r="AI17" s="1">
        <v>3</v>
      </c>
      <c r="AJ17" s="1">
        <v>69</v>
      </c>
      <c r="AK17" s="1">
        <v>132</v>
      </c>
      <c r="AL17" s="1">
        <v>84</v>
      </c>
    </row>
    <row r="18" spans="1:38" x14ac:dyDescent="0.35">
      <c r="A18">
        <v>9</v>
      </c>
      <c r="B18" t="s">
        <v>77</v>
      </c>
      <c r="C18" t="s">
        <v>35</v>
      </c>
      <c r="D18">
        <v>0</v>
      </c>
      <c r="E18">
        <v>0</v>
      </c>
      <c r="F18" t="s">
        <v>78</v>
      </c>
      <c r="G18" t="s">
        <v>37</v>
      </c>
      <c r="H18" t="s">
        <v>73</v>
      </c>
      <c r="I18">
        <v>0</v>
      </c>
      <c r="J18">
        <v>0</v>
      </c>
      <c r="K18">
        <v>110</v>
      </c>
      <c r="L18">
        <v>110</v>
      </c>
      <c r="M18" t="s">
        <v>74</v>
      </c>
      <c r="O18">
        <v>0</v>
      </c>
      <c r="P18">
        <v>4180</v>
      </c>
      <c r="Q18">
        <v>30580</v>
      </c>
      <c r="R18" t="s">
        <v>75</v>
      </c>
      <c r="T18" t="s">
        <v>48</v>
      </c>
      <c r="U18" t="s">
        <v>49</v>
      </c>
      <c r="V18" t="s">
        <v>76</v>
      </c>
      <c r="Y18">
        <v>2919.2003228643412</v>
      </c>
      <c r="Z18">
        <v>480798.72027393192</v>
      </c>
      <c r="AA18">
        <f t="shared" si="0"/>
        <v>143233.14754273044</v>
      </c>
      <c r="AB18">
        <f t="shared" si="1"/>
        <v>3</v>
      </c>
      <c r="AC18" s="6">
        <v>29120.169801945103</v>
      </c>
      <c r="AD18" s="1">
        <v>156</v>
      </c>
      <c r="AE18" s="1">
        <v>120371.3272215553</v>
      </c>
      <c r="AF18" s="1">
        <v>46</v>
      </c>
      <c r="AG18" s="1">
        <v>22861.820321175132</v>
      </c>
      <c r="AH18" s="1">
        <v>3994.0071424260791</v>
      </c>
      <c r="AI18" s="1">
        <v>3</v>
      </c>
      <c r="AJ18" s="1">
        <v>49</v>
      </c>
      <c r="AK18" s="1">
        <v>105</v>
      </c>
      <c r="AL18" s="1">
        <v>51</v>
      </c>
    </row>
    <row r="19" spans="1:38" x14ac:dyDescent="0.35">
      <c r="A19">
        <v>10</v>
      </c>
      <c r="B19" t="s">
        <v>79</v>
      </c>
      <c r="C19" t="s">
        <v>35</v>
      </c>
      <c r="D19">
        <v>0</v>
      </c>
      <c r="E19">
        <v>0</v>
      </c>
      <c r="F19" t="s">
        <v>80</v>
      </c>
      <c r="G19" t="s">
        <v>37</v>
      </c>
      <c r="H19" t="s">
        <v>73</v>
      </c>
      <c r="I19">
        <v>0</v>
      </c>
      <c r="J19">
        <v>0</v>
      </c>
      <c r="K19">
        <v>314</v>
      </c>
      <c r="L19">
        <v>314</v>
      </c>
      <c r="M19" t="s">
        <v>74</v>
      </c>
      <c r="O19">
        <v>0</v>
      </c>
      <c r="P19">
        <v>11932</v>
      </c>
      <c r="Q19">
        <v>87292</v>
      </c>
      <c r="R19" t="s">
        <v>75</v>
      </c>
      <c r="T19" t="s">
        <v>48</v>
      </c>
      <c r="U19" t="s">
        <v>49</v>
      </c>
      <c r="V19" t="s">
        <v>76</v>
      </c>
      <c r="Y19">
        <v>4249.0648453484973</v>
      </c>
      <c r="Z19">
        <v>1181337.767784968</v>
      </c>
      <c r="AA19">
        <f t="shared" si="0"/>
        <v>366235.44140850892</v>
      </c>
      <c r="AB19">
        <f t="shared" si="1"/>
        <v>7</v>
      </c>
      <c r="AC19" s="6">
        <v>25485.347316960982</v>
      </c>
      <c r="AD19" s="1">
        <v>409</v>
      </c>
      <c r="AE19" s="1">
        <v>209601.93944892561</v>
      </c>
      <c r="AF19" s="1">
        <v>198</v>
      </c>
      <c r="AG19" s="1">
        <v>156633.50195958329</v>
      </c>
      <c r="AH19" s="1">
        <v>11106.72338151732</v>
      </c>
      <c r="AI19" s="1">
        <v>7</v>
      </c>
      <c r="AJ19" s="1">
        <v>193</v>
      </c>
      <c r="AK19" s="1">
        <v>196</v>
      </c>
      <c r="AL19" s="1">
        <v>213</v>
      </c>
    </row>
    <row r="20" spans="1:38" x14ac:dyDescent="0.35">
      <c r="A20">
        <v>16</v>
      </c>
      <c r="B20" t="s">
        <v>99</v>
      </c>
      <c r="C20" t="s">
        <v>35</v>
      </c>
      <c r="D20">
        <v>0</v>
      </c>
      <c r="E20">
        <v>0</v>
      </c>
      <c r="F20" t="s">
        <v>100</v>
      </c>
      <c r="G20" t="s">
        <v>37</v>
      </c>
      <c r="H20" t="s">
        <v>100</v>
      </c>
      <c r="I20">
        <v>0</v>
      </c>
      <c r="J20">
        <v>0</v>
      </c>
      <c r="K20">
        <v>1616</v>
      </c>
      <c r="L20">
        <v>1616</v>
      </c>
      <c r="O20">
        <v>0</v>
      </c>
      <c r="P20">
        <v>61408</v>
      </c>
      <c r="Q20">
        <v>449248</v>
      </c>
      <c r="R20" t="s">
        <v>39</v>
      </c>
      <c r="T20" t="s">
        <v>48</v>
      </c>
      <c r="U20" t="s">
        <v>49</v>
      </c>
      <c r="Y20">
        <v>12196.682798376611</v>
      </c>
      <c r="Z20">
        <v>9096015.4351001531</v>
      </c>
      <c r="AA20">
        <f t="shared" si="0"/>
        <v>4800531.8511265041</v>
      </c>
      <c r="AB20">
        <f t="shared" si="1"/>
        <v>55</v>
      </c>
      <c r="AC20" s="6">
        <v>15636.797135841944</v>
      </c>
      <c r="AD20" s="1">
        <v>2639</v>
      </c>
      <c r="AE20" s="1">
        <v>3853159.173644559</v>
      </c>
      <c r="AF20" s="1">
        <v>1100</v>
      </c>
      <c r="AG20" s="1">
        <v>947372.67748194537</v>
      </c>
      <c r="AH20" s="1">
        <v>71924.79503216983</v>
      </c>
      <c r="AI20" s="1">
        <v>55</v>
      </c>
      <c r="AJ20" s="1">
        <v>845</v>
      </c>
      <c r="AK20" s="1">
        <v>1316</v>
      </c>
      <c r="AL20" s="1">
        <v>1323</v>
      </c>
    </row>
    <row r="21" spans="1:38" x14ac:dyDescent="0.35">
      <c r="A21">
        <v>17</v>
      </c>
      <c r="B21" t="s">
        <v>101</v>
      </c>
      <c r="C21" t="s">
        <v>35</v>
      </c>
      <c r="D21">
        <v>0</v>
      </c>
      <c r="E21">
        <v>0</v>
      </c>
      <c r="F21" t="s">
        <v>102</v>
      </c>
      <c r="G21" t="s">
        <v>37</v>
      </c>
      <c r="H21" t="s">
        <v>103</v>
      </c>
      <c r="I21">
        <v>0</v>
      </c>
      <c r="J21">
        <v>0</v>
      </c>
      <c r="K21">
        <v>331</v>
      </c>
      <c r="L21">
        <v>331</v>
      </c>
      <c r="O21">
        <v>0</v>
      </c>
      <c r="P21">
        <v>12578</v>
      </c>
      <c r="Q21">
        <v>92018</v>
      </c>
      <c r="R21" t="s">
        <v>39</v>
      </c>
      <c r="T21" t="s">
        <v>48</v>
      </c>
      <c r="U21" t="s">
        <v>49</v>
      </c>
      <c r="V21" t="s">
        <v>76</v>
      </c>
      <c r="Y21">
        <v>5483.8437765144163</v>
      </c>
      <c r="Z21">
        <v>1862424.075357765</v>
      </c>
      <c r="AA21">
        <f t="shared" si="0"/>
        <v>362741.86415863881</v>
      </c>
      <c r="AB21">
        <f t="shared" si="1"/>
        <v>8</v>
      </c>
      <c r="AC21" s="6">
        <v>187125.70904832461</v>
      </c>
      <c r="AD21" s="1">
        <v>359</v>
      </c>
      <c r="AE21" s="1">
        <v>126308.8007876973</v>
      </c>
      <c r="AF21" s="1">
        <v>164</v>
      </c>
      <c r="AG21" s="1">
        <v>236433.0633709415</v>
      </c>
      <c r="AH21" s="1">
        <v>19234.008282444938</v>
      </c>
      <c r="AI21" s="1">
        <v>8</v>
      </c>
      <c r="AJ21" s="1">
        <v>100</v>
      </c>
      <c r="AK21" s="1">
        <v>163</v>
      </c>
      <c r="AL21" s="1">
        <v>196</v>
      </c>
    </row>
    <row r="22" spans="1:38" x14ac:dyDescent="0.35">
      <c r="A22">
        <v>18</v>
      </c>
      <c r="B22" t="s">
        <v>104</v>
      </c>
      <c r="C22" t="s">
        <v>35</v>
      </c>
      <c r="D22">
        <v>0</v>
      </c>
      <c r="E22">
        <v>0</v>
      </c>
      <c r="F22" t="s">
        <v>105</v>
      </c>
      <c r="G22" t="s">
        <v>37</v>
      </c>
      <c r="H22" t="s">
        <v>103</v>
      </c>
      <c r="I22">
        <v>0</v>
      </c>
      <c r="J22">
        <v>0</v>
      </c>
      <c r="K22">
        <v>222</v>
      </c>
      <c r="L22">
        <v>222</v>
      </c>
      <c r="O22">
        <v>0</v>
      </c>
      <c r="P22">
        <v>8436</v>
      </c>
      <c r="Q22">
        <v>61716</v>
      </c>
      <c r="R22" t="s">
        <v>39</v>
      </c>
      <c r="T22" t="s">
        <v>48</v>
      </c>
      <c r="U22" t="s">
        <v>49</v>
      </c>
      <c r="V22" t="s">
        <v>76</v>
      </c>
      <c r="Y22">
        <v>3354.507777370779</v>
      </c>
      <c r="Z22">
        <v>701825.81321254093</v>
      </c>
      <c r="AA22">
        <f t="shared" si="0"/>
        <v>158358.20886671345</v>
      </c>
      <c r="AB22">
        <f t="shared" si="1"/>
        <v>10</v>
      </c>
      <c r="AC22" s="6">
        <v>200000</v>
      </c>
      <c r="AD22" s="1">
        <v>256</v>
      </c>
      <c r="AE22" s="1">
        <v>40203.152208145053</v>
      </c>
      <c r="AF22" s="1">
        <v>178</v>
      </c>
      <c r="AG22" s="1">
        <v>118155.0566585684</v>
      </c>
      <c r="AH22" s="1">
        <v>21544.590357841578</v>
      </c>
      <c r="AI22" s="1">
        <v>10</v>
      </c>
      <c r="AJ22" s="1">
        <v>134</v>
      </c>
      <c r="AK22" s="1">
        <v>49</v>
      </c>
      <c r="AL22" s="1">
        <v>207</v>
      </c>
    </row>
    <row r="23" spans="1:38" x14ac:dyDescent="0.35">
      <c r="A23">
        <v>22</v>
      </c>
      <c r="B23" t="s">
        <v>118</v>
      </c>
      <c r="C23" t="s">
        <v>35</v>
      </c>
      <c r="D23">
        <v>0</v>
      </c>
      <c r="E23">
        <v>0</v>
      </c>
      <c r="F23" t="s">
        <v>119</v>
      </c>
      <c r="G23" t="s">
        <v>37</v>
      </c>
      <c r="H23" t="s">
        <v>108</v>
      </c>
      <c r="I23">
        <v>0</v>
      </c>
      <c r="J23">
        <v>0</v>
      </c>
      <c r="K23">
        <v>181</v>
      </c>
      <c r="L23">
        <v>181</v>
      </c>
      <c r="O23">
        <v>0</v>
      </c>
      <c r="P23">
        <v>6878</v>
      </c>
      <c r="Q23">
        <v>50318</v>
      </c>
      <c r="R23" t="s">
        <v>39</v>
      </c>
      <c r="T23" t="s">
        <v>115</v>
      </c>
      <c r="U23" t="s">
        <v>41</v>
      </c>
      <c r="Y23">
        <v>3035.043735615935</v>
      </c>
      <c r="Z23">
        <v>496813.36737849069</v>
      </c>
      <c r="AA23">
        <f t="shared" si="0"/>
        <v>481805.69677924027</v>
      </c>
      <c r="AB23">
        <f t="shared" si="1"/>
        <v>2</v>
      </c>
      <c r="AC23" s="6">
        <v>57150.696783197076</v>
      </c>
      <c r="AD23" s="1">
        <v>225</v>
      </c>
      <c r="AE23" s="1">
        <v>479666.15856491012</v>
      </c>
      <c r="AF23" s="1">
        <v>10</v>
      </c>
      <c r="AG23" s="1">
        <v>2139.538214330174</v>
      </c>
      <c r="AH23" s="1">
        <v>917.3244816301044</v>
      </c>
      <c r="AI23" s="1">
        <v>2</v>
      </c>
      <c r="AJ23" s="1">
        <v>15</v>
      </c>
      <c r="AK23" s="1">
        <v>210</v>
      </c>
      <c r="AL23" s="1">
        <v>15</v>
      </c>
    </row>
    <row r="24" spans="1:38" x14ac:dyDescent="0.35">
      <c r="A24">
        <v>13</v>
      </c>
      <c r="B24" t="s">
        <v>91</v>
      </c>
      <c r="C24" t="s">
        <v>35</v>
      </c>
      <c r="D24">
        <v>350000</v>
      </c>
      <c r="E24">
        <v>30600000</v>
      </c>
      <c r="F24" t="s">
        <v>92</v>
      </c>
      <c r="G24" t="s">
        <v>37</v>
      </c>
      <c r="H24" t="s">
        <v>93</v>
      </c>
      <c r="I24">
        <v>88</v>
      </c>
      <c r="J24">
        <v>0</v>
      </c>
      <c r="K24">
        <v>0</v>
      </c>
      <c r="L24">
        <v>88</v>
      </c>
      <c r="M24" t="s">
        <v>84</v>
      </c>
      <c r="O24">
        <v>9183</v>
      </c>
      <c r="P24">
        <v>3332</v>
      </c>
      <c r="Q24">
        <v>24464</v>
      </c>
      <c r="R24" t="s">
        <v>57</v>
      </c>
      <c r="S24" t="s">
        <v>86</v>
      </c>
      <c r="T24" t="s">
        <v>87</v>
      </c>
      <c r="U24" t="s">
        <v>49</v>
      </c>
      <c r="V24" t="s">
        <v>76</v>
      </c>
      <c r="Y24">
        <v>1517.6609340598691</v>
      </c>
      <c r="Z24">
        <v>92628.520388464967</v>
      </c>
      <c r="AA24">
        <f t="shared" si="0"/>
        <v>99257.769017036364</v>
      </c>
      <c r="AB24">
        <f t="shared" si="1"/>
        <v>3</v>
      </c>
      <c r="AC24" s="6">
        <v>600</v>
      </c>
      <c r="AD24" s="1">
        <v>99</v>
      </c>
      <c r="AE24" s="1">
        <v>97946.302477322242</v>
      </c>
      <c r="AF24" s="1">
        <v>14</v>
      </c>
      <c r="AG24" s="1">
        <v>1311.466539714123</v>
      </c>
      <c r="AH24" s="1">
        <v>739.30217332018742</v>
      </c>
      <c r="AI24" s="1">
        <v>3</v>
      </c>
      <c r="AJ24" s="1">
        <v>22</v>
      </c>
      <c r="AK24" s="1">
        <v>77</v>
      </c>
      <c r="AL24" s="1">
        <v>22</v>
      </c>
    </row>
    <row r="25" spans="1:38" x14ac:dyDescent="0.35">
      <c r="A25">
        <v>23</v>
      </c>
      <c r="B25" t="s">
        <v>120</v>
      </c>
      <c r="C25" t="s">
        <v>35</v>
      </c>
      <c r="D25">
        <v>0</v>
      </c>
      <c r="E25">
        <v>0</v>
      </c>
      <c r="F25" t="s">
        <v>121</v>
      </c>
      <c r="G25" t="s">
        <v>37</v>
      </c>
      <c r="H25" t="s">
        <v>108</v>
      </c>
      <c r="I25">
        <v>0</v>
      </c>
      <c r="J25">
        <v>0</v>
      </c>
      <c r="K25">
        <v>244</v>
      </c>
      <c r="L25">
        <v>244</v>
      </c>
      <c r="O25">
        <v>0</v>
      </c>
      <c r="P25">
        <v>9272</v>
      </c>
      <c r="Q25">
        <v>67832</v>
      </c>
      <c r="R25" t="s">
        <v>39</v>
      </c>
      <c r="T25" t="s">
        <v>115</v>
      </c>
      <c r="U25" t="s">
        <v>41</v>
      </c>
      <c r="Y25">
        <v>2898.64912098796</v>
      </c>
      <c r="Z25">
        <v>445169.24522339558</v>
      </c>
      <c r="AA25">
        <f t="shared" si="0"/>
        <v>815655.46920841793</v>
      </c>
      <c r="AB25">
        <f t="shared" si="1"/>
        <v>1</v>
      </c>
      <c r="AC25" s="6">
        <v>51906.991655674763</v>
      </c>
      <c r="AD25" s="1">
        <v>280</v>
      </c>
      <c r="AE25" s="1">
        <v>807658.55637569132</v>
      </c>
      <c r="AF25" s="1">
        <v>23</v>
      </c>
      <c r="AG25" s="1">
        <v>7996.9128327265726</v>
      </c>
      <c r="AH25" s="1">
        <v>772.7087958789549</v>
      </c>
      <c r="AI25" s="1">
        <v>1</v>
      </c>
      <c r="AJ25" s="1">
        <v>26</v>
      </c>
      <c r="AK25" s="1">
        <v>254</v>
      </c>
      <c r="AL25" s="1">
        <v>26</v>
      </c>
    </row>
    <row r="26" spans="1:38" x14ac:dyDescent="0.35">
      <c r="A26">
        <v>24</v>
      </c>
      <c r="B26" t="s">
        <v>122</v>
      </c>
      <c r="C26" t="s">
        <v>35</v>
      </c>
      <c r="D26">
        <v>0</v>
      </c>
      <c r="E26">
        <v>0</v>
      </c>
      <c r="F26" t="s">
        <v>123</v>
      </c>
      <c r="G26" t="s">
        <v>37</v>
      </c>
      <c r="H26" t="s">
        <v>114</v>
      </c>
      <c r="I26">
        <v>0</v>
      </c>
      <c r="J26">
        <v>0</v>
      </c>
      <c r="K26">
        <v>253</v>
      </c>
      <c r="L26">
        <v>253</v>
      </c>
      <c r="O26">
        <v>0</v>
      </c>
      <c r="P26">
        <v>9614</v>
      </c>
      <c r="Q26">
        <v>70334</v>
      </c>
      <c r="R26" t="s">
        <v>39</v>
      </c>
      <c r="T26" t="s">
        <v>115</v>
      </c>
      <c r="U26" t="s">
        <v>41</v>
      </c>
      <c r="Y26">
        <v>3308.5468410379558</v>
      </c>
      <c r="Z26">
        <v>695888.09457251895</v>
      </c>
      <c r="AA26">
        <f t="shared" si="0"/>
        <v>347580.86345596577</v>
      </c>
      <c r="AB26">
        <f t="shared" si="1"/>
        <v>3</v>
      </c>
      <c r="AC26" s="6">
        <v>47497.611221320614</v>
      </c>
      <c r="AD26" s="1">
        <v>285</v>
      </c>
      <c r="AE26" s="1">
        <v>300028.76808026811</v>
      </c>
      <c r="AF26" s="1">
        <v>73</v>
      </c>
      <c r="AG26" s="1">
        <v>47552.095375697623</v>
      </c>
      <c r="AH26" s="1">
        <v>7293.6403668436787</v>
      </c>
      <c r="AI26" s="1">
        <v>3</v>
      </c>
      <c r="AJ26" s="1">
        <v>61</v>
      </c>
      <c r="AK26" s="1">
        <v>196</v>
      </c>
      <c r="AL26" s="1">
        <v>89</v>
      </c>
    </row>
    <row r="27" spans="1:38" x14ac:dyDescent="0.35">
      <c r="A27">
        <v>27</v>
      </c>
      <c r="B27" t="s">
        <v>133</v>
      </c>
      <c r="C27" t="s">
        <v>35</v>
      </c>
      <c r="D27">
        <v>0</v>
      </c>
      <c r="E27">
        <v>0</v>
      </c>
      <c r="F27" t="s">
        <v>134</v>
      </c>
      <c r="G27" t="s">
        <v>37</v>
      </c>
      <c r="H27" t="s">
        <v>132</v>
      </c>
      <c r="I27">
        <v>0</v>
      </c>
      <c r="J27">
        <v>0</v>
      </c>
      <c r="K27">
        <v>139</v>
      </c>
      <c r="L27">
        <v>139</v>
      </c>
      <c r="O27">
        <v>0</v>
      </c>
      <c r="P27">
        <v>5282</v>
      </c>
      <c r="Q27">
        <v>38642</v>
      </c>
      <c r="R27" t="s">
        <v>39</v>
      </c>
      <c r="T27" t="s">
        <v>48</v>
      </c>
      <c r="U27" t="s">
        <v>49</v>
      </c>
      <c r="V27" t="s">
        <v>76</v>
      </c>
      <c r="Y27">
        <v>2497.1163153845969</v>
      </c>
      <c r="Z27">
        <v>383520.95594294288</v>
      </c>
      <c r="AA27">
        <f t="shared" si="0"/>
        <v>120173.32911301883</v>
      </c>
      <c r="AB27">
        <f t="shared" si="1"/>
        <v>4</v>
      </c>
      <c r="AC27" s="6">
        <v>34953.97656680506</v>
      </c>
      <c r="AD27" s="1">
        <v>155</v>
      </c>
      <c r="AE27" s="1">
        <v>18897.769208248428</v>
      </c>
      <c r="AF27" s="1">
        <v>108</v>
      </c>
      <c r="AG27" s="1">
        <v>101275.5599047704</v>
      </c>
      <c r="AH27" s="1">
        <v>7813.2470105012571</v>
      </c>
      <c r="AI27" s="1">
        <v>4</v>
      </c>
      <c r="AJ27" s="1">
        <v>80</v>
      </c>
      <c r="AK27" s="1">
        <v>16</v>
      </c>
      <c r="AL27" s="1">
        <v>139</v>
      </c>
    </row>
    <row r="28" spans="1:38" x14ac:dyDescent="0.35">
      <c r="A28">
        <v>28</v>
      </c>
      <c r="B28" t="s">
        <v>135</v>
      </c>
      <c r="C28" t="s">
        <v>35</v>
      </c>
      <c r="D28">
        <v>0</v>
      </c>
      <c r="E28">
        <v>0</v>
      </c>
      <c r="F28" t="s">
        <v>136</v>
      </c>
      <c r="G28" t="s">
        <v>37</v>
      </c>
      <c r="H28" t="s">
        <v>137</v>
      </c>
      <c r="I28">
        <v>0</v>
      </c>
      <c r="J28">
        <v>0</v>
      </c>
      <c r="K28">
        <v>129</v>
      </c>
      <c r="L28">
        <v>129</v>
      </c>
      <c r="O28">
        <v>0</v>
      </c>
      <c r="P28">
        <v>4902</v>
      </c>
      <c r="Q28">
        <v>35862</v>
      </c>
      <c r="R28" t="s">
        <v>39</v>
      </c>
      <c r="T28" t="s">
        <v>48</v>
      </c>
      <c r="U28" t="s">
        <v>49</v>
      </c>
      <c r="V28" t="s">
        <v>76</v>
      </c>
      <c r="Y28">
        <v>2623.5990401022618</v>
      </c>
      <c r="Z28">
        <v>397578.80722172459</v>
      </c>
      <c r="AA28">
        <f t="shared" si="0"/>
        <v>597096.35462664056</v>
      </c>
      <c r="AB28">
        <f t="shared" si="1"/>
        <v>1</v>
      </c>
      <c r="AC28" s="6">
        <v>12506.717547228169</v>
      </c>
      <c r="AD28" s="1">
        <v>151</v>
      </c>
      <c r="AE28" s="1">
        <v>595654.36393856548</v>
      </c>
      <c r="AF28" s="1">
        <v>6</v>
      </c>
      <c r="AG28" s="1">
        <v>1441.9906880751339</v>
      </c>
      <c r="AH28" s="1">
        <v>2066.6762400208431</v>
      </c>
      <c r="AI28" s="1">
        <v>1</v>
      </c>
      <c r="AJ28" s="1">
        <v>1</v>
      </c>
      <c r="AK28" s="1">
        <v>130</v>
      </c>
      <c r="AL28" s="1">
        <v>21</v>
      </c>
    </row>
    <row r="29" spans="1:38" x14ac:dyDescent="0.35">
      <c r="A29">
        <v>32</v>
      </c>
      <c r="B29" t="s">
        <v>150</v>
      </c>
      <c r="C29" t="s">
        <v>35</v>
      </c>
      <c r="D29">
        <v>0</v>
      </c>
      <c r="E29">
        <v>0</v>
      </c>
      <c r="F29" t="s">
        <v>151</v>
      </c>
      <c r="G29" t="s">
        <v>37</v>
      </c>
      <c r="H29" t="s">
        <v>152</v>
      </c>
      <c r="I29">
        <v>0</v>
      </c>
      <c r="J29">
        <v>0</v>
      </c>
      <c r="K29">
        <v>129</v>
      </c>
      <c r="L29">
        <v>129</v>
      </c>
      <c r="O29">
        <v>0</v>
      </c>
      <c r="P29">
        <v>4902</v>
      </c>
      <c r="Q29">
        <v>35862</v>
      </c>
      <c r="R29" t="s">
        <v>39</v>
      </c>
      <c r="T29" t="s">
        <v>153</v>
      </c>
      <c r="U29" t="s">
        <v>49</v>
      </c>
      <c r="V29" t="s">
        <v>76</v>
      </c>
      <c r="Y29">
        <v>3043.4705438280198</v>
      </c>
      <c r="Z29">
        <v>624172.01699449727</v>
      </c>
      <c r="AA29">
        <f t="shared" si="0"/>
        <v>746243.26307666232</v>
      </c>
      <c r="AB29">
        <f t="shared" si="1"/>
        <v>0</v>
      </c>
      <c r="AC29" s="6">
        <v>29765.306011166038</v>
      </c>
      <c r="AD29" s="1">
        <v>351</v>
      </c>
      <c r="AE29" s="1">
        <v>725197.11240683659</v>
      </c>
      <c r="AF29" s="1">
        <v>32</v>
      </c>
      <c r="AG29" s="1">
        <v>21046.150669825689</v>
      </c>
      <c r="AH29" s="1">
        <v>2038.253619299961</v>
      </c>
      <c r="AK29" s="1">
        <v>249</v>
      </c>
      <c r="AL29" s="1">
        <v>102</v>
      </c>
    </row>
    <row r="30" spans="1:38" x14ac:dyDescent="0.35">
      <c r="A30">
        <v>33</v>
      </c>
      <c r="B30" t="s">
        <v>154</v>
      </c>
      <c r="C30" t="s">
        <v>35</v>
      </c>
      <c r="D30">
        <v>0</v>
      </c>
      <c r="E30">
        <v>0</v>
      </c>
      <c r="F30" t="s">
        <v>155</v>
      </c>
      <c r="G30" t="s">
        <v>37</v>
      </c>
      <c r="H30" t="s">
        <v>152</v>
      </c>
      <c r="I30">
        <v>0</v>
      </c>
      <c r="J30">
        <v>0</v>
      </c>
      <c r="K30">
        <v>125</v>
      </c>
      <c r="L30">
        <v>125</v>
      </c>
      <c r="O30">
        <v>0</v>
      </c>
      <c r="P30">
        <v>4750</v>
      </c>
      <c r="Q30">
        <v>34750</v>
      </c>
      <c r="R30" t="s">
        <v>39</v>
      </c>
      <c r="T30" t="s">
        <v>153</v>
      </c>
      <c r="U30" t="s">
        <v>49</v>
      </c>
      <c r="V30" t="s">
        <v>76</v>
      </c>
      <c r="Y30">
        <v>2567.914138369345</v>
      </c>
      <c r="Z30">
        <v>285907.66705706331</v>
      </c>
      <c r="AA30">
        <f t="shared" si="0"/>
        <v>139982.17812911436</v>
      </c>
      <c r="AB30">
        <f t="shared" si="1"/>
        <v>1</v>
      </c>
      <c r="AC30" s="6">
        <v>22005.373607414931</v>
      </c>
      <c r="AD30" s="1">
        <v>130</v>
      </c>
      <c r="AE30" s="1">
        <v>139676.1805149561</v>
      </c>
      <c r="AF30" s="1">
        <v>4</v>
      </c>
      <c r="AG30" s="1">
        <v>305.99761415824889</v>
      </c>
      <c r="AH30" s="1">
        <v>431.78563233100851</v>
      </c>
      <c r="AI30" s="1">
        <v>1</v>
      </c>
      <c r="AJ30" s="1">
        <v>6</v>
      </c>
      <c r="AK30" s="1">
        <v>123</v>
      </c>
      <c r="AL30" s="1">
        <v>7</v>
      </c>
    </row>
    <row r="31" spans="1:38" x14ac:dyDescent="0.35">
      <c r="A31">
        <v>38</v>
      </c>
      <c r="B31" t="s">
        <v>167</v>
      </c>
      <c r="C31" t="s">
        <v>35</v>
      </c>
      <c r="D31">
        <v>0</v>
      </c>
      <c r="E31">
        <v>0</v>
      </c>
      <c r="F31" t="s">
        <v>168</v>
      </c>
      <c r="G31" t="s">
        <v>37</v>
      </c>
      <c r="H31" t="s">
        <v>168</v>
      </c>
      <c r="I31">
        <v>0</v>
      </c>
      <c r="J31">
        <v>0</v>
      </c>
      <c r="K31">
        <v>188</v>
      </c>
      <c r="L31">
        <v>188</v>
      </c>
      <c r="O31">
        <v>0</v>
      </c>
      <c r="P31">
        <v>7144</v>
      </c>
      <c r="Q31">
        <v>52264</v>
      </c>
      <c r="R31" t="s">
        <v>39</v>
      </c>
      <c r="T31" t="s">
        <v>40</v>
      </c>
      <c r="U31" t="s">
        <v>41</v>
      </c>
      <c r="V31" t="s">
        <v>42</v>
      </c>
      <c r="Y31">
        <v>4760.239064068146</v>
      </c>
      <c r="Z31">
        <v>1416792.126110961</v>
      </c>
      <c r="AA31">
        <f t="shared" si="0"/>
        <v>228637.56350542617</v>
      </c>
      <c r="AB31">
        <f t="shared" si="1"/>
        <v>9</v>
      </c>
      <c r="AC31" s="6">
        <v>29982.496551074666</v>
      </c>
      <c r="AD31" s="1">
        <v>283</v>
      </c>
      <c r="AE31" s="1">
        <v>65437.977746238568</v>
      </c>
      <c r="AF31" s="1">
        <v>218</v>
      </c>
      <c r="AG31" s="1">
        <v>163199.58575918761</v>
      </c>
      <c r="AH31" s="1">
        <v>17263.190450753089</v>
      </c>
      <c r="AI31" s="1">
        <v>9</v>
      </c>
      <c r="AJ31" s="1">
        <v>204</v>
      </c>
      <c r="AK31" s="1">
        <v>35</v>
      </c>
      <c r="AL31" s="1">
        <v>248</v>
      </c>
    </row>
    <row r="32" spans="1:38" x14ac:dyDescent="0.35">
      <c r="A32">
        <v>39</v>
      </c>
      <c r="B32" t="s">
        <v>169</v>
      </c>
      <c r="C32" t="s">
        <v>35</v>
      </c>
      <c r="D32">
        <v>0</v>
      </c>
      <c r="E32">
        <v>0</v>
      </c>
      <c r="F32" t="s">
        <v>170</v>
      </c>
      <c r="G32" t="s">
        <v>37</v>
      </c>
      <c r="H32" t="s">
        <v>171</v>
      </c>
      <c r="I32">
        <v>0</v>
      </c>
      <c r="J32">
        <v>0</v>
      </c>
      <c r="K32">
        <v>109</v>
      </c>
      <c r="L32">
        <v>109</v>
      </c>
      <c r="O32">
        <v>0</v>
      </c>
      <c r="P32">
        <v>4142</v>
      </c>
      <c r="Q32">
        <v>30302</v>
      </c>
      <c r="R32" t="s">
        <v>39</v>
      </c>
      <c r="T32" t="s">
        <v>40</v>
      </c>
      <c r="U32" t="s">
        <v>41</v>
      </c>
      <c r="V32" t="s">
        <v>42</v>
      </c>
      <c r="Y32">
        <v>2701.1743161269142</v>
      </c>
      <c r="Z32">
        <v>411249.25671630388</v>
      </c>
      <c r="AA32">
        <f t="shared" si="0"/>
        <v>696181.93031456228</v>
      </c>
      <c r="AB32">
        <f t="shared" si="1"/>
        <v>0</v>
      </c>
      <c r="AC32" s="6">
        <v>69661.011838237449</v>
      </c>
      <c r="AD32" s="1">
        <v>374</v>
      </c>
      <c r="AE32" s="1">
        <v>651266.59146496607</v>
      </c>
      <c r="AF32" s="1">
        <v>144</v>
      </c>
      <c r="AG32" s="1">
        <v>44915.338849596257</v>
      </c>
      <c r="AH32" s="1">
        <v>6178.9346536528501</v>
      </c>
      <c r="AK32" s="1">
        <v>230</v>
      </c>
      <c r="AL32" s="1">
        <v>144</v>
      </c>
    </row>
    <row r="33" spans="1:38" x14ac:dyDescent="0.35">
      <c r="A33">
        <v>41</v>
      </c>
      <c r="B33" t="s">
        <v>175</v>
      </c>
      <c r="C33" t="s">
        <v>35</v>
      </c>
      <c r="D33">
        <v>0</v>
      </c>
      <c r="E33">
        <v>0</v>
      </c>
      <c r="F33" t="s">
        <v>176</v>
      </c>
      <c r="G33" t="s">
        <v>37</v>
      </c>
      <c r="H33" t="s">
        <v>177</v>
      </c>
      <c r="I33">
        <v>0</v>
      </c>
      <c r="J33">
        <v>0</v>
      </c>
      <c r="K33">
        <v>624</v>
      </c>
      <c r="L33">
        <v>624</v>
      </c>
      <c r="O33">
        <v>0</v>
      </c>
      <c r="P33">
        <v>23712</v>
      </c>
      <c r="Q33">
        <v>173472</v>
      </c>
      <c r="R33" t="s">
        <v>39</v>
      </c>
      <c r="T33" t="s">
        <v>40</v>
      </c>
      <c r="U33" t="s">
        <v>41</v>
      </c>
      <c r="V33" t="s">
        <v>42</v>
      </c>
      <c r="Y33">
        <v>9385.9074055492001</v>
      </c>
      <c r="Z33">
        <v>5129498.7363350699</v>
      </c>
      <c r="AA33">
        <f t="shared" si="0"/>
        <v>71641321.023658469</v>
      </c>
      <c r="AB33">
        <f t="shared" si="1"/>
        <v>8</v>
      </c>
      <c r="AC33" s="6">
        <v>67484.218275239808</v>
      </c>
      <c r="AD33" s="1">
        <v>2665</v>
      </c>
      <c r="AE33" s="1">
        <v>70204067.051834881</v>
      </c>
      <c r="AF33" s="1">
        <v>816</v>
      </c>
      <c r="AG33" s="1">
        <v>1437253.9718235871</v>
      </c>
      <c r="AH33" s="1">
        <v>19588.284830060111</v>
      </c>
      <c r="AI33" s="1">
        <v>8</v>
      </c>
      <c r="AJ33" s="1">
        <v>746</v>
      </c>
      <c r="AK33" s="1">
        <v>1865</v>
      </c>
      <c r="AL33" s="1">
        <v>800</v>
      </c>
    </row>
    <row r="34" spans="1:38" x14ac:dyDescent="0.35">
      <c r="A34">
        <v>19</v>
      </c>
      <c r="B34" t="s">
        <v>106</v>
      </c>
      <c r="C34" t="s">
        <v>54</v>
      </c>
      <c r="D34">
        <v>180000</v>
      </c>
      <c r="E34">
        <v>0</v>
      </c>
      <c r="F34" t="s">
        <v>107</v>
      </c>
      <c r="G34" t="s">
        <v>37</v>
      </c>
      <c r="H34" t="s">
        <v>108</v>
      </c>
      <c r="I34">
        <v>10</v>
      </c>
      <c r="J34">
        <v>0</v>
      </c>
      <c r="K34">
        <v>273</v>
      </c>
      <c r="L34">
        <v>283</v>
      </c>
      <c r="M34" t="s">
        <v>109</v>
      </c>
      <c r="O34">
        <v>0</v>
      </c>
      <c r="P34">
        <v>10754</v>
      </c>
      <c r="Q34">
        <v>78674</v>
      </c>
      <c r="R34" t="s">
        <v>75</v>
      </c>
      <c r="T34" t="s">
        <v>110</v>
      </c>
      <c r="U34" t="s">
        <v>41</v>
      </c>
      <c r="V34" t="s">
        <v>111</v>
      </c>
      <c r="Y34">
        <v>6218.6752422583486</v>
      </c>
      <c r="Z34">
        <v>1285466.328433342</v>
      </c>
      <c r="AA34">
        <f t="shared" si="0"/>
        <v>399721.29429343285</v>
      </c>
      <c r="AB34">
        <f t="shared" si="1"/>
        <v>7</v>
      </c>
      <c r="AC34" s="6">
        <v>92509.544802141143</v>
      </c>
      <c r="AD34" s="1">
        <v>418</v>
      </c>
      <c r="AE34" s="1">
        <v>243677.47706914501</v>
      </c>
      <c r="AF34" s="1">
        <v>169</v>
      </c>
      <c r="AG34" s="1">
        <v>156043.81722428781</v>
      </c>
      <c r="AH34" s="1">
        <v>7062.8676358641969</v>
      </c>
      <c r="AI34" s="1">
        <v>7</v>
      </c>
      <c r="AJ34" s="1">
        <v>181</v>
      </c>
      <c r="AK34" s="1">
        <v>231</v>
      </c>
      <c r="AL34" s="1">
        <v>187</v>
      </c>
    </row>
    <row r="35" spans="1:38" x14ac:dyDescent="0.35">
      <c r="A35">
        <v>14</v>
      </c>
      <c r="B35" t="s">
        <v>94</v>
      </c>
      <c r="C35" t="s">
        <v>89</v>
      </c>
      <c r="D35">
        <v>80000</v>
      </c>
      <c r="E35">
        <v>57400000</v>
      </c>
      <c r="F35" t="s">
        <v>95</v>
      </c>
      <c r="G35" t="s">
        <v>37</v>
      </c>
      <c r="H35" t="s">
        <v>96</v>
      </c>
      <c r="I35">
        <v>680</v>
      </c>
      <c r="J35">
        <v>0</v>
      </c>
      <c r="K35">
        <v>0</v>
      </c>
      <c r="L35">
        <v>680</v>
      </c>
      <c r="M35" t="s">
        <v>84</v>
      </c>
      <c r="O35">
        <v>2229</v>
      </c>
      <c r="P35">
        <v>25748</v>
      </c>
      <c r="Q35">
        <v>189040</v>
      </c>
      <c r="R35" t="s">
        <v>57</v>
      </c>
      <c r="S35" t="s">
        <v>86</v>
      </c>
      <c r="T35" t="s">
        <v>87</v>
      </c>
      <c r="U35" t="s">
        <v>49</v>
      </c>
      <c r="V35" t="s">
        <v>76</v>
      </c>
      <c r="Y35">
        <v>5584.1294427823359</v>
      </c>
      <c r="Z35">
        <v>1536881.3610749741</v>
      </c>
      <c r="AA35">
        <f t="shared" si="0"/>
        <v>671674.16704095295</v>
      </c>
      <c r="AB35">
        <f t="shared" si="1"/>
        <v>18</v>
      </c>
      <c r="AC35" s="6">
        <v>3578.0818010700409</v>
      </c>
      <c r="AD35" s="1">
        <v>666</v>
      </c>
      <c r="AE35" s="1">
        <v>526463.91132921132</v>
      </c>
      <c r="AF35" s="1">
        <v>215</v>
      </c>
      <c r="AG35" s="1">
        <v>145210.25571174169</v>
      </c>
      <c r="AH35" s="1">
        <v>15316.580342870981</v>
      </c>
      <c r="AI35" s="1">
        <v>18</v>
      </c>
      <c r="AJ35" s="1">
        <v>246</v>
      </c>
      <c r="AK35" s="1">
        <v>405</v>
      </c>
      <c r="AL35" s="1">
        <v>261</v>
      </c>
    </row>
    <row r="36" spans="1:38" x14ac:dyDescent="0.35">
      <c r="A36">
        <v>20</v>
      </c>
      <c r="B36" t="s">
        <v>112</v>
      </c>
      <c r="C36" t="s">
        <v>54</v>
      </c>
      <c r="D36">
        <v>150000</v>
      </c>
      <c r="E36">
        <v>0</v>
      </c>
      <c r="F36" t="s">
        <v>113</v>
      </c>
      <c r="G36" t="s">
        <v>37</v>
      </c>
      <c r="H36" t="s">
        <v>114</v>
      </c>
      <c r="I36">
        <v>0</v>
      </c>
      <c r="J36">
        <v>0</v>
      </c>
      <c r="K36">
        <v>585</v>
      </c>
      <c r="L36">
        <v>585</v>
      </c>
      <c r="M36" t="s">
        <v>109</v>
      </c>
      <c r="O36">
        <v>0</v>
      </c>
      <c r="P36">
        <v>22230</v>
      </c>
      <c r="Q36">
        <v>162630</v>
      </c>
      <c r="R36" t="s">
        <v>75</v>
      </c>
      <c r="T36" t="s">
        <v>115</v>
      </c>
      <c r="U36" t="s">
        <v>41</v>
      </c>
      <c r="V36" t="s">
        <v>111</v>
      </c>
      <c r="Y36">
        <v>11869.56348924188</v>
      </c>
      <c r="Z36">
        <v>4333417.9615739109</v>
      </c>
      <c r="AA36">
        <f t="shared" si="0"/>
        <v>1392302.1364813452</v>
      </c>
      <c r="AB36">
        <f t="shared" si="1"/>
        <v>13</v>
      </c>
      <c r="AC36" s="6">
        <v>83596.744447589212</v>
      </c>
      <c r="AD36" s="1">
        <v>981</v>
      </c>
      <c r="AE36" s="1">
        <v>1287351.52538095</v>
      </c>
      <c r="AF36" s="1">
        <v>159</v>
      </c>
      <c r="AG36" s="1">
        <v>104950.6111003952</v>
      </c>
      <c r="AH36" s="1">
        <v>12465.74487101613</v>
      </c>
      <c r="AI36" s="1">
        <v>13</v>
      </c>
      <c r="AJ36" s="1">
        <v>190</v>
      </c>
      <c r="AK36" s="1">
        <v>717</v>
      </c>
      <c r="AL36" s="1">
        <v>264</v>
      </c>
    </row>
    <row r="37" spans="1:38" x14ac:dyDescent="0.35">
      <c r="A37">
        <v>21</v>
      </c>
      <c r="B37" t="s">
        <v>116</v>
      </c>
      <c r="C37" t="s">
        <v>63</v>
      </c>
      <c r="D37">
        <v>280000</v>
      </c>
      <c r="E37">
        <v>0</v>
      </c>
      <c r="F37" t="s">
        <v>117</v>
      </c>
      <c r="G37" t="s">
        <v>37</v>
      </c>
      <c r="H37" t="s">
        <v>108</v>
      </c>
      <c r="I37">
        <v>0</v>
      </c>
      <c r="J37">
        <v>0</v>
      </c>
      <c r="K37">
        <v>225</v>
      </c>
      <c r="L37">
        <v>225</v>
      </c>
      <c r="M37" t="s">
        <v>109</v>
      </c>
      <c r="O37">
        <v>0</v>
      </c>
      <c r="P37">
        <v>8550</v>
      </c>
      <c r="Q37">
        <v>62550</v>
      </c>
      <c r="R37" t="s">
        <v>75</v>
      </c>
      <c r="T37" t="s">
        <v>115</v>
      </c>
      <c r="U37" t="s">
        <v>41</v>
      </c>
      <c r="V37" t="s">
        <v>111</v>
      </c>
      <c r="Y37">
        <v>4402.1239573907287</v>
      </c>
      <c r="Z37">
        <v>1267150.4179156879</v>
      </c>
      <c r="AA37">
        <f t="shared" si="0"/>
        <v>720211.31203126977</v>
      </c>
      <c r="AB37">
        <f t="shared" si="1"/>
        <v>6</v>
      </c>
      <c r="AC37" s="6">
        <v>62792.999891621817</v>
      </c>
      <c r="AD37" s="1">
        <v>421</v>
      </c>
      <c r="AE37" s="1">
        <v>715923.75795651099</v>
      </c>
      <c r="AF37" s="1">
        <v>27</v>
      </c>
      <c r="AG37" s="1">
        <v>4287.5540747588202</v>
      </c>
      <c r="AH37" s="1">
        <v>2507.558206445266</v>
      </c>
      <c r="AI37" s="1">
        <v>6</v>
      </c>
      <c r="AJ37" s="1">
        <v>34</v>
      </c>
      <c r="AK37" s="1">
        <v>381</v>
      </c>
      <c r="AL37" s="1">
        <v>40</v>
      </c>
    </row>
    <row r="38" spans="1:38" x14ac:dyDescent="0.35">
      <c r="A38">
        <v>99</v>
      </c>
      <c r="B38" t="s">
        <v>401</v>
      </c>
      <c r="C38" t="s">
        <v>63</v>
      </c>
      <c r="F38" t="s">
        <v>402</v>
      </c>
      <c r="G38" t="s">
        <v>37</v>
      </c>
      <c r="H38" t="s">
        <v>403</v>
      </c>
      <c r="I38">
        <v>120</v>
      </c>
      <c r="L38">
        <v>120</v>
      </c>
      <c r="P38">
        <v>4536</v>
      </c>
      <c r="R38" t="s">
        <v>75</v>
      </c>
      <c r="T38" t="s">
        <v>404</v>
      </c>
      <c r="U38" t="s">
        <v>41</v>
      </c>
      <c r="V38" t="s">
        <v>405</v>
      </c>
      <c r="Y38">
        <v>6594.5375819166493</v>
      </c>
      <c r="Z38">
        <v>612333.53559968644</v>
      </c>
      <c r="AA38">
        <f t="shared" si="0"/>
        <v>0</v>
      </c>
      <c r="AB38">
        <f t="shared" si="1"/>
        <v>0</v>
      </c>
      <c r="AC38" s="6">
        <v>150900</v>
      </c>
      <c r="AD38" s="1">
        <v>181</v>
      </c>
      <c r="AK38" s="1"/>
      <c r="AL38" s="1">
        <v>181</v>
      </c>
    </row>
    <row r="39" spans="1:38" x14ac:dyDescent="0.35">
      <c r="A39">
        <v>15</v>
      </c>
      <c r="B39" t="s">
        <v>97</v>
      </c>
      <c r="C39" t="s">
        <v>89</v>
      </c>
      <c r="D39">
        <v>80000</v>
      </c>
      <c r="E39">
        <v>40500000</v>
      </c>
      <c r="F39" t="s">
        <v>98</v>
      </c>
      <c r="G39" t="s">
        <v>37</v>
      </c>
      <c r="H39" t="s">
        <v>84</v>
      </c>
      <c r="I39">
        <v>110</v>
      </c>
      <c r="J39">
        <v>393</v>
      </c>
      <c r="K39">
        <v>0</v>
      </c>
      <c r="L39">
        <v>503</v>
      </c>
      <c r="M39" t="s">
        <v>84</v>
      </c>
      <c r="O39">
        <v>2126</v>
      </c>
      <c r="P39">
        <v>19046</v>
      </c>
      <c r="Q39">
        <v>139834</v>
      </c>
      <c r="R39" t="s">
        <v>57</v>
      </c>
      <c r="S39" t="s">
        <v>86</v>
      </c>
      <c r="T39" t="s">
        <v>87</v>
      </c>
      <c r="U39" t="s">
        <v>49</v>
      </c>
      <c r="Y39">
        <v>3883.6489540218508</v>
      </c>
      <c r="Z39">
        <v>1059177.710041587</v>
      </c>
      <c r="AA39">
        <f t="shared" si="0"/>
        <v>754014.40976155573</v>
      </c>
      <c r="AB39">
        <f t="shared" si="1"/>
        <v>10</v>
      </c>
      <c r="AC39" s="6">
        <v>1053.5846110796019</v>
      </c>
      <c r="AD39" s="1">
        <v>551</v>
      </c>
      <c r="AE39" s="1">
        <v>701511.2287870713</v>
      </c>
      <c r="AF39" s="1">
        <v>125</v>
      </c>
      <c r="AG39" s="1">
        <v>52503.180974484378</v>
      </c>
      <c r="AH39" s="1">
        <v>10146.258603098109</v>
      </c>
      <c r="AI39" s="1">
        <v>10</v>
      </c>
      <c r="AJ39" s="1">
        <v>141</v>
      </c>
      <c r="AK39" s="1">
        <v>410</v>
      </c>
      <c r="AL39" s="1">
        <v>141</v>
      </c>
    </row>
    <row r="40" spans="1:38" x14ac:dyDescent="0.35">
      <c r="A40">
        <v>25</v>
      </c>
      <c r="B40" t="s">
        <v>124</v>
      </c>
      <c r="C40" t="s">
        <v>54</v>
      </c>
      <c r="D40">
        <v>110000</v>
      </c>
      <c r="E40">
        <v>67200000</v>
      </c>
      <c r="F40" t="s">
        <v>125</v>
      </c>
      <c r="G40" t="s">
        <v>37</v>
      </c>
      <c r="H40" t="s">
        <v>126</v>
      </c>
      <c r="I40">
        <v>0</v>
      </c>
      <c r="J40">
        <v>0</v>
      </c>
      <c r="K40">
        <v>631</v>
      </c>
      <c r="L40">
        <v>631</v>
      </c>
      <c r="M40" t="s">
        <v>127</v>
      </c>
      <c r="O40">
        <v>2813</v>
      </c>
      <c r="P40">
        <v>23893</v>
      </c>
      <c r="Q40">
        <v>175418</v>
      </c>
      <c r="R40" t="s">
        <v>57</v>
      </c>
      <c r="S40" t="s">
        <v>128</v>
      </c>
      <c r="T40" t="s">
        <v>129</v>
      </c>
      <c r="U40" t="s">
        <v>49</v>
      </c>
      <c r="V40" t="s">
        <v>76</v>
      </c>
      <c r="Y40">
        <v>7075.1042415113807</v>
      </c>
      <c r="Z40">
        <v>2820015.2461633878</v>
      </c>
      <c r="AA40">
        <f t="shared" si="0"/>
        <v>1066902.151924016</v>
      </c>
      <c r="AB40">
        <f t="shared" si="1"/>
        <v>19</v>
      </c>
      <c r="AC40" s="6">
        <v>1.8524994980739171</v>
      </c>
      <c r="AD40" s="1">
        <v>833</v>
      </c>
      <c r="AE40" s="1">
        <v>912039.62998672063</v>
      </c>
      <c r="AF40" s="1">
        <v>328</v>
      </c>
      <c r="AG40" s="1">
        <v>154862.52193729521</v>
      </c>
      <c r="AH40" s="1">
        <v>24567.324091388851</v>
      </c>
      <c r="AI40" s="1">
        <v>19</v>
      </c>
      <c r="AJ40" s="1">
        <v>343</v>
      </c>
      <c r="AK40" s="1">
        <v>352</v>
      </c>
      <c r="AL40" s="1">
        <v>481</v>
      </c>
    </row>
    <row r="41" spans="1:38" x14ac:dyDescent="0.35">
      <c r="A41">
        <v>26</v>
      </c>
      <c r="B41" t="s">
        <v>130</v>
      </c>
      <c r="C41" t="s">
        <v>63</v>
      </c>
      <c r="D41">
        <v>210000</v>
      </c>
      <c r="E41">
        <v>24200000</v>
      </c>
      <c r="F41" t="s">
        <v>131</v>
      </c>
      <c r="G41" t="s">
        <v>37</v>
      </c>
      <c r="H41" t="s">
        <v>132</v>
      </c>
      <c r="I41">
        <v>0</v>
      </c>
      <c r="J41">
        <v>0</v>
      </c>
      <c r="K41">
        <v>115</v>
      </c>
      <c r="L41">
        <v>115</v>
      </c>
      <c r="M41" t="s">
        <v>127</v>
      </c>
      <c r="O41">
        <v>5558</v>
      </c>
      <c r="P41">
        <v>4354</v>
      </c>
      <c r="Q41">
        <v>31970</v>
      </c>
      <c r="R41" t="s">
        <v>57</v>
      </c>
      <c r="S41" t="s">
        <v>128</v>
      </c>
      <c r="T41" t="s">
        <v>129</v>
      </c>
      <c r="U41" t="s">
        <v>49</v>
      </c>
      <c r="V41" t="s">
        <v>76</v>
      </c>
      <c r="Y41">
        <v>1802.7055293046351</v>
      </c>
      <c r="Z41">
        <v>208239.01158891871</v>
      </c>
      <c r="AA41">
        <f t="shared" si="0"/>
        <v>159524.64161774039</v>
      </c>
      <c r="AB41">
        <f t="shared" si="1"/>
        <v>2</v>
      </c>
      <c r="AC41" s="6">
        <v>35000</v>
      </c>
      <c r="AD41" s="1">
        <v>130</v>
      </c>
      <c r="AF41" s="1">
        <v>152</v>
      </c>
      <c r="AG41" s="1">
        <v>159524.64161774039</v>
      </c>
      <c r="AH41" s="1">
        <v>5339.4832711728086</v>
      </c>
      <c r="AI41" s="1">
        <v>2</v>
      </c>
      <c r="AJ41" s="1">
        <v>35</v>
      </c>
      <c r="AK41" s="1"/>
      <c r="AL41" s="1">
        <v>130</v>
      </c>
    </row>
    <row r="42" spans="1:38" x14ac:dyDescent="0.35">
      <c r="A42">
        <v>29</v>
      </c>
      <c r="B42" t="s">
        <v>138</v>
      </c>
      <c r="C42" t="s">
        <v>54</v>
      </c>
      <c r="D42">
        <v>180000</v>
      </c>
      <c r="E42">
        <v>35700000</v>
      </c>
      <c r="F42" t="s">
        <v>139</v>
      </c>
      <c r="G42" t="s">
        <v>37</v>
      </c>
      <c r="H42" t="s">
        <v>140</v>
      </c>
      <c r="I42">
        <v>0</v>
      </c>
      <c r="J42">
        <v>0</v>
      </c>
      <c r="K42">
        <v>202</v>
      </c>
      <c r="L42">
        <v>202</v>
      </c>
      <c r="M42" t="s">
        <v>141</v>
      </c>
      <c r="O42">
        <v>4667</v>
      </c>
      <c r="P42">
        <v>7649</v>
      </c>
      <c r="Q42">
        <v>56156</v>
      </c>
      <c r="R42" t="s">
        <v>57</v>
      </c>
      <c r="S42" t="s">
        <v>86</v>
      </c>
      <c r="T42" t="s">
        <v>142</v>
      </c>
      <c r="U42" t="s">
        <v>49</v>
      </c>
      <c r="V42" t="s">
        <v>76</v>
      </c>
      <c r="Y42">
        <v>3340.0558292966698</v>
      </c>
      <c r="Z42">
        <v>774892.34569225973</v>
      </c>
      <c r="AA42">
        <f t="shared" si="0"/>
        <v>125221.30612757213</v>
      </c>
      <c r="AB42">
        <f t="shared" si="1"/>
        <v>2</v>
      </c>
      <c r="AC42" s="6">
        <v>16329.929030932433</v>
      </c>
      <c r="AD42" s="1">
        <v>242</v>
      </c>
      <c r="AE42" s="1">
        <v>88350.131703403706</v>
      </c>
      <c r="AF42" s="1">
        <v>54</v>
      </c>
      <c r="AG42" s="1">
        <v>36871.174424168421</v>
      </c>
      <c r="AH42" s="1">
        <v>1930.610189928856</v>
      </c>
      <c r="AI42" s="1">
        <v>2</v>
      </c>
      <c r="AJ42" s="1">
        <v>58</v>
      </c>
      <c r="AK42" s="1">
        <v>121</v>
      </c>
      <c r="AL42" s="1">
        <v>121</v>
      </c>
    </row>
    <row r="43" spans="1:38" x14ac:dyDescent="0.35">
      <c r="A43">
        <v>30</v>
      </c>
      <c r="B43" t="s">
        <v>143</v>
      </c>
      <c r="C43" t="s">
        <v>35</v>
      </c>
      <c r="D43">
        <v>310000</v>
      </c>
      <c r="E43">
        <v>52100000</v>
      </c>
      <c r="F43" t="s">
        <v>144</v>
      </c>
      <c r="G43" t="s">
        <v>37</v>
      </c>
      <c r="H43" t="s">
        <v>145</v>
      </c>
      <c r="I43">
        <v>0</v>
      </c>
      <c r="J43">
        <v>0</v>
      </c>
      <c r="K43">
        <v>170</v>
      </c>
      <c r="L43">
        <v>170</v>
      </c>
      <c r="M43" t="s">
        <v>146</v>
      </c>
      <c r="O43">
        <v>8094</v>
      </c>
      <c r="P43">
        <v>6437</v>
      </c>
      <c r="Q43">
        <v>47260</v>
      </c>
      <c r="R43" t="s">
        <v>57</v>
      </c>
      <c r="S43" t="s">
        <v>86</v>
      </c>
      <c r="T43" t="s">
        <v>147</v>
      </c>
      <c r="U43" t="s">
        <v>49</v>
      </c>
      <c r="V43" t="s">
        <v>76</v>
      </c>
      <c r="Y43">
        <v>2926.7962396119528</v>
      </c>
      <c r="Z43">
        <v>523920.07004336012</v>
      </c>
      <c r="AA43">
        <f t="shared" si="0"/>
        <v>1187871.9241529894</v>
      </c>
      <c r="AB43">
        <f t="shared" si="1"/>
        <v>0</v>
      </c>
      <c r="AC43" s="6">
        <v>5732.0484206034971</v>
      </c>
      <c r="AD43" s="1">
        <v>213</v>
      </c>
      <c r="AE43" s="1">
        <v>1179171.1057571061</v>
      </c>
      <c r="AF43" s="1">
        <v>10</v>
      </c>
      <c r="AG43" s="1">
        <v>8700.8183958834252</v>
      </c>
      <c r="AH43" s="1">
        <v>1629.0266132762431</v>
      </c>
      <c r="AK43" s="1">
        <v>203</v>
      </c>
      <c r="AL43" s="1">
        <v>10</v>
      </c>
    </row>
    <row r="44" spans="1:38" x14ac:dyDescent="0.35">
      <c r="A44">
        <v>81</v>
      </c>
      <c r="B44" t="s">
        <v>334</v>
      </c>
      <c r="C44" t="s">
        <v>89</v>
      </c>
      <c r="D44">
        <v>90000</v>
      </c>
      <c r="E44">
        <v>82000000</v>
      </c>
      <c r="F44" t="s">
        <v>335</v>
      </c>
      <c r="G44" t="s">
        <v>314</v>
      </c>
      <c r="H44" t="s">
        <v>336</v>
      </c>
      <c r="I44">
        <v>890</v>
      </c>
      <c r="J44">
        <v>0</v>
      </c>
      <c r="K44">
        <v>0</v>
      </c>
      <c r="L44">
        <v>890</v>
      </c>
      <c r="M44" t="s">
        <v>337</v>
      </c>
      <c r="O44">
        <v>2433</v>
      </c>
      <c r="P44">
        <v>33700</v>
      </c>
      <c r="Q44">
        <v>247420</v>
      </c>
      <c r="R44" t="s">
        <v>57</v>
      </c>
      <c r="S44" t="s">
        <v>39</v>
      </c>
      <c r="T44" t="s">
        <v>338</v>
      </c>
      <c r="U44" t="s">
        <v>49</v>
      </c>
      <c r="V44" t="s">
        <v>319</v>
      </c>
      <c r="Y44">
        <v>8786.6318291435491</v>
      </c>
      <c r="Z44">
        <v>2472139.9176951242</v>
      </c>
      <c r="AA44">
        <f t="shared" si="0"/>
        <v>891881.55146372051</v>
      </c>
      <c r="AB44">
        <f t="shared" si="1"/>
        <v>3</v>
      </c>
      <c r="AC44" s="6">
        <v>4424.867945590584</v>
      </c>
      <c r="AD44" s="1">
        <v>1021</v>
      </c>
      <c r="AE44" s="1">
        <v>891360.48602593795</v>
      </c>
      <c r="AF44" s="1">
        <v>7</v>
      </c>
      <c r="AG44" s="1">
        <v>521.06543778257469</v>
      </c>
      <c r="AH44" s="1">
        <v>550.43220245601924</v>
      </c>
      <c r="AI44" s="1">
        <v>3</v>
      </c>
      <c r="AJ44" s="1">
        <v>16</v>
      </c>
      <c r="AK44" s="1">
        <v>1005</v>
      </c>
      <c r="AL44" s="1">
        <v>16</v>
      </c>
    </row>
    <row r="45" spans="1:38" x14ac:dyDescent="0.35">
      <c r="A45">
        <v>93</v>
      </c>
      <c r="B45" t="s">
        <v>380</v>
      </c>
      <c r="C45" t="s">
        <v>54</v>
      </c>
      <c r="D45">
        <v>140000</v>
      </c>
      <c r="E45">
        <v>36500000</v>
      </c>
      <c r="F45" t="s">
        <v>381</v>
      </c>
      <c r="G45" t="s">
        <v>314</v>
      </c>
      <c r="H45" t="s">
        <v>382</v>
      </c>
      <c r="I45">
        <v>0</v>
      </c>
      <c r="J45">
        <v>257</v>
      </c>
      <c r="K45">
        <v>0</v>
      </c>
      <c r="L45">
        <v>257</v>
      </c>
      <c r="M45" t="s">
        <v>378</v>
      </c>
      <c r="O45">
        <v>3751</v>
      </c>
      <c r="P45">
        <v>9731</v>
      </c>
      <c r="Q45">
        <v>71446</v>
      </c>
      <c r="R45" t="s">
        <v>75</v>
      </c>
      <c r="T45" t="s">
        <v>383</v>
      </c>
      <c r="U45" t="s">
        <v>49</v>
      </c>
      <c r="V45" t="s">
        <v>319</v>
      </c>
      <c r="W45" t="s">
        <v>384</v>
      </c>
      <c r="Y45">
        <v>2697.2795849206382</v>
      </c>
      <c r="Z45">
        <v>432236.3532595344</v>
      </c>
      <c r="AA45">
        <f t="shared" si="0"/>
        <v>219958.07347995689</v>
      </c>
      <c r="AB45">
        <f t="shared" si="1"/>
        <v>4</v>
      </c>
      <c r="AC45" s="6">
        <v>9480.3672037110791</v>
      </c>
      <c r="AD45" s="1">
        <v>280</v>
      </c>
      <c r="AE45" s="1">
        <v>101025.84569624549</v>
      </c>
      <c r="AF45" s="1">
        <v>155</v>
      </c>
      <c r="AG45" s="1">
        <v>118932.22778371139</v>
      </c>
      <c r="AH45" s="1">
        <v>3325.6120953155519</v>
      </c>
      <c r="AI45" s="1">
        <v>4</v>
      </c>
      <c r="AJ45" s="1">
        <v>57</v>
      </c>
      <c r="AK45" s="1">
        <v>122</v>
      </c>
      <c r="AL45" s="1">
        <v>158</v>
      </c>
    </row>
    <row r="46" spans="1:38" x14ac:dyDescent="0.35">
      <c r="A46">
        <v>82</v>
      </c>
      <c r="B46" t="s">
        <v>339</v>
      </c>
      <c r="C46" t="s">
        <v>35</v>
      </c>
      <c r="D46">
        <v>0</v>
      </c>
      <c r="E46">
        <v>0</v>
      </c>
      <c r="F46" t="s">
        <v>340</v>
      </c>
      <c r="G46" t="s">
        <v>314</v>
      </c>
      <c r="H46" t="s">
        <v>341</v>
      </c>
      <c r="I46">
        <v>122</v>
      </c>
      <c r="J46">
        <v>0</v>
      </c>
      <c r="K46">
        <v>0</v>
      </c>
      <c r="L46">
        <v>122</v>
      </c>
      <c r="O46">
        <v>0</v>
      </c>
      <c r="P46">
        <v>4636</v>
      </c>
      <c r="Q46">
        <v>33916</v>
      </c>
      <c r="R46" t="s">
        <v>39</v>
      </c>
      <c r="T46" t="s">
        <v>342</v>
      </c>
      <c r="U46" t="s">
        <v>49</v>
      </c>
      <c r="V46" t="s">
        <v>319</v>
      </c>
      <c r="Y46">
        <v>2668.0539017198812</v>
      </c>
      <c r="Z46">
        <v>350769.5261205766</v>
      </c>
      <c r="AA46">
        <f t="shared" si="0"/>
        <v>186875.54362866949</v>
      </c>
      <c r="AB46">
        <f t="shared" si="1"/>
        <v>0</v>
      </c>
      <c r="AC46" s="6">
        <v>138427.02454847484</v>
      </c>
      <c r="AD46" s="1">
        <v>189</v>
      </c>
      <c r="AE46" s="1">
        <v>186875.54362866949</v>
      </c>
      <c r="AK46" s="1">
        <v>189</v>
      </c>
      <c r="AL46" s="1"/>
    </row>
    <row r="47" spans="1:38" x14ac:dyDescent="0.35">
      <c r="A47">
        <v>84</v>
      </c>
      <c r="B47" t="s">
        <v>347</v>
      </c>
      <c r="C47" t="s">
        <v>35</v>
      </c>
      <c r="D47">
        <v>0</v>
      </c>
      <c r="E47">
        <v>0</v>
      </c>
      <c r="F47" t="s">
        <v>348</v>
      </c>
      <c r="G47" t="s">
        <v>314</v>
      </c>
      <c r="H47" t="s">
        <v>349</v>
      </c>
      <c r="I47">
        <v>0</v>
      </c>
      <c r="J47">
        <v>0</v>
      </c>
      <c r="K47">
        <v>572</v>
      </c>
      <c r="L47">
        <v>572</v>
      </c>
      <c r="O47">
        <v>0</v>
      </c>
      <c r="P47">
        <v>21736</v>
      </c>
      <c r="Q47">
        <v>159016</v>
      </c>
      <c r="R47" t="s">
        <v>39</v>
      </c>
      <c r="T47" t="s">
        <v>342</v>
      </c>
      <c r="U47" t="s">
        <v>49</v>
      </c>
      <c r="V47" t="s">
        <v>319</v>
      </c>
      <c r="W47" t="s">
        <v>350</v>
      </c>
      <c r="Y47">
        <v>5048.1815544210604</v>
      </c>
      <c r="Z47">
        <v>1687491.119413784</v>
      </c>
      <c r="AA47">
        <f t="shared" si="0"/>
        <v>541656.29294522072</v>
      </c>
      <c r="AB47">
        <f t="shared" si="1"/>
        <v>14</v>
      </c>
      <c r="AC47" s="6">
        <v>76379.454944147787</v>
      </c>
      <c r="AD47" s="1">
        <v>659</v>
      </c>
      <c r="AE47" s="1">
        <v>285004.28613478137</v>
      </c>
      <c r="AF47" s="1">
        <v>324</v>
      </c>
      <c r="AG47" s="1">
        <v>256652.00681043931</v>
      </c>
      <c r="AH47" s="1">
        <v>14926.245249174021</v>
      </c>
      <c r="AI47" s="1">
        <v>14</v>
      </c>
      <c r="AJ47" s="1">
        <v>327</v>
      </c>
      <c r="AK47" s="1">
        <v>309</v>
      </c>
      <c r="AL47" s="1">
        <v>350</v>
      </c>
    </row>
    <row r="48" spans="1:38" x14ac:dyDescent="0.35">
      <c r="A48">
        <v>75</v>
      </c>
      <c r="B48" t="s">
        <v>312</v>
      </c>
      <c r="C48" t="s">
        <v>54</v>
      </c>
      <c r="D48">
        <v>130000</v>
      </c>
      <c r="E48">
        <v>0</v>
      </c>
      <c r="F48" t="s">
        <v>313</v>
      </c>
      <c r="G48" t="s">
        <v>314</v>
      </c>
      <c r="H48" t="s">
        <v>315</v>
      </c>
      <c r="I48">
        <v>0</v>
      </c>
      <c r="J48">
        <v>77</v>
      </c>
      <c r="K48">
        <v>0</v>
      </c>
      <c r="L48">
        <v>77</v>
      </c>
      <c r="M48" t="s">
        <v>316</v>
      </c>
      <c r="N48" t="s">
        <v>317</v>
      </c>
      <c r="O48">
        <v>0</v>
      </c>
      <c r="P48">
        <v>2926</v>
      </c>
      <c r="Q48">
        <v>21406</v>
      </c>
      <c r="R48" t="s">
        <v>75</v>
      </c>
      <c r="T48" t="s">
        <v>318</v>
      </c>
      <c r="U48" t="s">
        <v>49</v>
      </c>
      <c r="V48" t="s">
        <v>319</v>
      </c>
      <c r="Y48">
        <v>2158.736315997583</v>
      </c>
      <c r="Z48">
        <v>172677.1519004626</v>
      </c>
      <c r="AA48">
        <f t="shared" si="0"/>
        <v>161676.55592473206</v>
      </c>
      <c r="AB48">
        <f t="shared" si="1"/>
        <v>1</v>
      </c>
      <c r="AC48" s="6">
        <v>56600</v>
      </c>
      <c r="AD48" s="1">
        <v>98</v>
      </c>
      <c r="AE48" s="1">
        <v>161654.17958412049</v>
      </c>
      <c r="AF48" s="1">
        <v>2</v>
      </c>
      <c r="AG48" s="1">
        <v>22.376340611577991</v>
      </c>
      <c r="AH48" s="1">
        <v>184.06309287848109</v>
      </c>
      <c r="AI48" s="1">
        <v>1</v>
      </c>
      <c r="AJ48" s="1">
        <v>2</v>
      </c>
      <c r="AK48" s="1">
        <v>94</v>
      </c>
      <c r="AL48" s="1">
        <v>4</v>
      </c>
    </row>
    <row r="49" spans="1:38" x14ac:dyDescent="0.35">
      <c r="A49">
        <v>76</v>
      </c>
      <c r="B49" t="s">
        <v>320</v>
      </c>
      <c r="C49" t="s">
        <v>54</v>
      </c>
      <c r="D49">
        <v>120000</v>
      </c>
      <c r="E49">
        <v>0</v>
      </c>
      <c r="F49" t="s">
        <v>321</v>
      </c>
      <c r="G49" t="s">
        <v>314</v>
      </c>
      <c r="H49" t="s">
        <v>322</v>
      </c>
      <c r="I49">
        <v>0</v>
      </c>
      <c r="J49">
        <v>3</v>
      </c>
      <c r="K49">
        <v>61</v>
      </c>
      <c r="L49">
        <v>64</v>
      </c>
      <c r="M49" t="s">
        <v>316</v>
      </c>
      <c r="O49">
        <v>0</v>
      </c>
      <c r="P49">
        <v>2432</v>
      </c>
      <c r="Q49">
        <v>17792</v>
      </c>
      <c r="R49" t="s">
        <v>75</v>
      </c>
      <c r="T49" t="s">
        <v>318</v>
      </c>
      <c r="U49" t="s">
        <v>49</v>
      </c>
      <c r="V49" t="s">
        <v>319</v>
      </c>
      <c r="Y49">
        <v>1331.5314104036449</v>
      </c>
      <c r="Z49">
        <v>97176.524359060029</v>
      </c>
      <c r="AA49">
        <f t="shared" si="0"/>
        <v>48524.410410586279</v>
      </c>
      <c r="AB49">
        <f t="shared" si="1"/>
        <v>0</v>
      </c>
      <c r="AC49" s="6">
        <v>7283</v>
      </c>
      <c r="AD49" s="1">
        <v>61</v>
      </c>
      <c r="AE49" s="1">
        <v>48524.410410586279</v>
      </c>
      <c r="AK49" s="1">
        <v>61</v>
      </c>
      <c r="AL49" s="1"/>
    </row>
    <row r="50" spans="1:38" x14ac:dyDescent="0.35">
      <c r="A50">
        <v>77</v>
      </c>
      <c r="B50" t="s">
        <v>323</v>
      </c>
      <c r="C50" t="s">
        <v>54</v>
      </c>
      <c r="D50">
        <v>110000</v>
      </c>
      <c r="E50">
        <v>0</v>
      </c>
      <c r="F50" t="s">
        <v>324</v>
      </c>
      <c r="G50" t="s">
        <v>314</v>
      </c>
      <c r="H50" t="s">
        <v>315</v>
      </c>
      <c r="I50">
        <v>0</v>
      </c>
      <c r="J50">
        <v>343</v>
      </c>
      <c r="K50">
        <v>5</v>
      </c>
      <c r="L50">
        <v>348</v>
      </c>
      <c r="M50" t="s">
        <v>316</v>
      </c>
      <c r="O50">
        <v>0</v>
      </c>
      <c r="P50">
        <v>13224</v>
      </c>
      <c r="Q50">
        <v>96744</v>
      </c>
      <c r="R50" t="s">
        <v>75</v>
      </c>
      <c r="T50" t="s">
        <v>318</v>
      </c>
      <c r="U50" t="s">
        <v>49</v>
      </c>
      <c r="V50" t="s">
        <v>319</v>
      </c>
      <c r="Y50">
        <v>3837.0718425834689</v>
      </c>
      <c r="Z50">
        <v>960587.77822612645</v>
      </c>
      <c r="AA50">
        <f t="shared" si="0"/>
        <v>481603.95086049417</v>
      </c>
      <c r="AB50">
        <f t="shared" si="1"/>
        <v>4</v>
      </c>
      <c r="AC50" s="6">
        <v>43615.40550464017</v>
      </c>
      <c r="AD50" s="1">
        <v>387</v>
      </c>
      <c r="AE50" s="1">
        <v>443701.58808593138</v>
      </c>
      <c r="AF50" s="1">
        <v>68</v>
      </c>
      <c r="AG50" s="1">
        <v>37902.362774562789</v>
      </c>
      <c r="AH50" s="1">
        <v>1260.8457927089421</v>
      </c>
      <c r="AI50" s="1">
        <v>4</v>
      </c>
      <c r="AJ50" s="1">
        <v>73</v>
      </c>
      <c r="AK50" s="1">
        <v>314</v>
      </c>
      <c r="AL50" s="1">
        <v>73</v>
      </c>
    </row>
    <row r="51" spans="1:38" x14ac:dyDescent="0.35">
      <c r="A51">
        <v>78</v>
      </c>
      <c r="B51" t="s">
        <v>325</v>
      </c>
      <c r="C51" t="s">
        <v>35</v>
      </c>
      <c r="D51">
        <v>300000</v>
      </c>
      <c r="E51">
        <v>0</v>
      </c>
      <c r="F51" t="s">
        <v>326</v>
      </c>
      <c r="G51" t="s">
        <v>314</v>
      </c>
      <c r="H51" t="s">
        <v>322</v>
      </c>
      <c r="I51">
        <v>0</v>
      </c>
      <c r="J51">
        <v>0</v>
      </c>
      <c r="K51">
        <v>231</v>
      </c>
      <c r="L51">
        <v>231</v>
      </c>
      <c r="M51" t="s">
        <v>316</v>
      </c>
      <c r="O51">
        <v>0</v>
      </c>
      <c r="P51">
        <v>8778</v>
      </c>
      <c r="Q51">
        <v>64218</v>
      </c>
      <c r="R51" t="s">
        <v>75</v>
      </c>
      <c r="T51" t="s">
        <v>327</v>
      </c>
      <c r="U51" t="s">
        <v>49</v>
      </c>
      <c r="V51" t="s">
        <v>319</v>
      </c>
      <c r="W51" t="s">
        <v>328</v>
      </c>
      <c r="Y51">
        <v>4102.1568387981761</v>
      </c>
      <c r="Z51">
        <v>844277.42285963916</v>
      </c>
      <c r="AA51">
        <f t="shared" si="0"/>
        <v>198253.62493294556</v>
      </c>
      <c r="AB51">
        <f t="shared" si="1"/>
        <v>6</v>
      </c>
      <c r="AC51" s="6">
        <v>32730.06776774444</v>
      </c>
      <c r="AD51" s="1">
        <v>216</v>
      </c>
      <c r="AE51" s="1">
        <v>184898.36433744719</v>
      </c>
      <c r="AF51" s="1">
        <v>46</v>
      </c>
      <c r="AG51" s="1">
        <v>13355.260595498379</v>
      </c>
      <c r="AH51" s="1">
        <v>4492.51734893705</v>
      </c>
      <c r="AI51" s="1">
        <v>6</v>
      </c>
      <c r="AJ51" s="1">
        <v>56</v>
      </c>
      <c r="AK51" s="1">
        <v>156</v>
      </c>
      <c r="AL51" s="1">
        <v>60</v>
      </c>
    </row>
    <row r="52" spans="1:38" x14ac:dyDescent="0.35">
      <c r="A52">
        <v>79</v>
      </c>
      <c r="B52" t="s">
        <v>329</v>
      </c>
      <c r="C52" t="s">
        <v>89</v>
      </c>
      <c r="D52">
        <v>130000</v>
      </c>
      <c r="E52">
        <v>0</v>
      </c>
      <c r="F52" t="s">
        <v>330</v>
      </c>
      <c r="G52" t="s">
        <v>314</v>
      </c>
      <c r="H52" t="s">
        <v>322</v>
      </c>
      <c r="I52">
        <v>0</v>
      </c>
      <c r="J52">
        <v>0</v>
      </c>
      <c r="K52">
        <v>520</v>
      </c>
      <c r="L52">
        <v>520</v>
      </c>
      <c r="M52" t="s">
        <v>316</v>
      </c>
      <c r="O52">
        <v>0</v>
      </c>
      <c r="P52">
        <v>19760</v>
      </c>
      <c r="Q52">
        <v>144560</v>
      </c>
      <c r="R52" t="s">
        <v>75</v>
      </c>
      <c r="T52" t="s">
        <v>327</v>
      </c>
      <c r="U52" t="s">
        <v>49</v>
      </c>
      <c r="V52" t="s">
        <v>319</v>
      </c>
      <c r="W52" t="s">
        <v>328</v>
      </c>
      <c r="Y52">
        <v>6128.226194001315</v>
      </c>
      <c r="Z52">
        <v>2375418.9766106759</v>
      </c>
      <c r="AA52">
        <f t="shared" si="0"/>
        <v>613702.93961304461</v>
      </c>
      <c r="AB52">
        <f t="shared" si="1"/>
        <v>16</v>
      </c>
      <c r="AC52" s="6">
        <v>26227.743556450536</v>
      </c>
      <c r="AD52" s="1">
        <v>653</v>
      </c>
      <c r="AE52" s="1">
        <v>520104.62202455133</v>
      </c>
      <c r="AF52" s="1">
        <v>203</v>
      </c>
      <c r="AG52" s="1">
        <v>93598.317588493272</v>
      </c>
      <c r="AH52" s="1">
        <v>25765.383456929751</v>
      </c>
      <c r="AI52" s="1">
        <v>16</v>
      </c>
      <c r="AJ52" s="1">
        <v>209</v>
      </c>
      <c r="AK52" s="1">
        <v>409</v>
      </c>
      <c r="AL52" s="1">
        <v>244</v>
      </c>
    </row>
    <row r="53" spans="1:38" x14ac:dyDescent="0.35">
      <c r="A53">
        <v>100</v>
      </c>
      <c r="B53" t="s">
        <v>406</v>
      </c>
      <c r="F53" t="s">
        <v>407</v>
      </c>
      <c r="G53" t="s">
        <v>314</v>
      </c>
      <c r="R53" t="s">
        <v>39</v>
      </c>
      <c r="T53" t="s">
        <v>408</v>
      </c>
      <c r="U53" t="s">
        <v>49</v>
      </c>
      <c r="V53" t="s">
        <v>409</v>
      </c>
      <c r="Y53">
        <v>4328.3600481725989</v>
      </c>
      <c r="Z53">
        <v>939222.44746069377</v>
      </c>
      <c r="AA53">
        <f t="shared" si="0"/>
        <v>463966.03241408995</v>
      </c>
      <c r="AB53">
        <f t="shared" si="1"/>
        <v>4</v>
      </c>
      <c r="AC53" s="6">
        <v>18291.245407869879</v>
      </c>
      <c r="AD53" s="1">
        <v>345</v>
      </c>
      <c r="AE53" s="1">
        <v>462189.95117385982</v>
      </c>
      <c r="AF53" s="1">
        <v>15</v>
      </c>
      <c r="AG53" s="1">
        <v>1776.081240230111</v>
      </c>
      <c r="AH53" s="1">
        <v>666.67977170632935</v>
      </c>
      <c r="AI53" s="1">
        <v>4</v>
      </c>
      <c r="AJ53" s="1">
        <v>20</v>
      </c>
      <c r="AK53" s="1">
        <v>309</v>
      </c>
      <c r="AL53" s="1">
        <v>36</v>
      </c>
    </row>
    <row r="54" spans="1:38" x14ac:dyDescent="0.35">
      <c r="A54">
        <v>80</v>
      </c>
      <c r="B54" t="s">
        <v>331</v>
      </c>
      <c r="C54" t="s">
        <v>89</v>
      </c>
      <c r="D54">
        <v>80000</v>
      </c>
      <c r="E54">
        <v>0</v>
      </c>
      <c r="F54" t="s">
        <v>332</v>
      </c>
      <c r="G54" t="s">
        <v>314</v>
      </c>
      <c r="H54" t="s">
        <v>333</v>
      </c>
      <c r="I54">
        <v>0</v>
      </c>
      <c r="J54">
        <v>0</v>
      </c>
      <c r="K54">
        <v>1325</v>
      </c>
      <c r="L54">
        <v>1325</v>
      </c>
      <c r="M54" t="s">
        <v>316</v>
      </c>
      <c r="O54">
        <v>0</v>
      </c>
      <c r="P54">
        <v>50350</v>
      </c>
      <c r="Q54">
        <v>368350</v>
      </c>
      <c r="R54" t="s">
        <v>75</v>
      </c>
      <c r="T54" t="s">
        <v>327</v>
      </c>
      <c r="U54" t="s">
        <v>49</v>
      </c>
      <c r="V54" t="s">
        <v>319</v>
      </c>
      <c r="Y54">
        <v>9618.5926957993124</v>
      </c>
      <c r="Z54">
        <v>5805140.7325999271</v>
      </c>
      <c r="AA54">
        <f t="shared" si="0"/>
        <v>832336.73755287612</v>
      </c>
      <c r="AB54">
        <f t="shared" si="1"/>
        <v>41</v>
      </c>
      <c r="AC54" s="6">
        <v>21111.885532346027</v>
      </c>
      <c r="AD54" s="1">
        <v>1478</v>
      </c>
      <c r="AE54" s="1">
        <v>455329.24605703348</v>
      </c>
      <c r="AF54" s="1">
        <v>643</v>
      </c>
      <c r="AG54" s="1">
        <v>377007.49149584258</v>
      </c>
      <c r="AH54" s="1">
        <v>59631.944117445673</v>
      </c>
      <c r="AI54" s="1">
        <v>41</v>
      </c>
      <c r="AJ54" s="1">
        <v>665</v>
      </c>
      <c r="AK54" s="1">
        <v>550</v>
      </c>
      <c r="AL54" s="1">
        <v>928</v>
      </c>
    </row>
    <row r="55" spans="1:38" x14ac:dyDescent="0.35">
      <c r="A55">
        <v>85</v>
      </c>
      <c r="B55" t="s">
        <v>351</v>
      </c>
      <c r="C55" t="s">
        <v>89</v>
      </c>
      <c r="D55">
        <v>70000</v>
      </c>
      <c r="E55">
        <v>117200000</v>
      </c>
      <c r="F55" t="s">
        <v>352</v>
      </c>
      <c r="G55" t="s">
        <v>314</v>
      </c>
      <c r="H55" t="s">
        <v>353</v>
      </c>
      <c r="I55">
        <v>0</v>
      </c>
      <c r="J55">
        <v>1793</v>
      </c>
      <c r="K55">
        <v>0</v>
      </c>
      <c r="L55">
        <v>1793</v>
      </c>
      <c r="M55" t="s">
        <v>354</v>
      </c>
      <c r="O55">
        <v>1726</v>
      </c>
      <c r="P55">
        <v>67892</v>
      </c>
      <c r="Q55">
        <v>498454</v>
      </c>
      <c r="R55" t="s">
        <v>57</v>
      </c>
      <c r="S55" t="s">
        <v>39</v>
      </c>
      <c r="T55" t="s">
        <v>355</v>
      </c>
      <c r="U55" t="s">
        <v>49</v>
      </c>
      <c r="V55" t="s">
        <v>319</v>
      </c>
      <c r="W55" t="s">
        <v>356</v>
      </c>
      <c r="Y55">
        <v>10265.53273008506</v>
      </c>
      <c r="Z55">
        <v>4661952.3987977821</v>
      </c>
      <c r="AA55">
        <f t="shared" si="0"/>
        <v>4157598.7989834729</v>
      </c>
      <c r="AB55">
        <f t="shared" si="1"/>
        <v>36</v>
      </c>
      <c r="AC55" s="6">
        <v>10.672879146200746</v>
      </c>
      <c r="AD55" s="1">
        <v>1946</v>
      </c>
      <c r="AE55" s="1">
        <v>3577140.686239725</v>
      </c>
      <c r="AF55" s="1">
        <v>865</v>
      </c>
      <c r="AG55" s="1">
        <v>580458.11274374777</v>
      </c>
      <c r="AH55" s="1">
        <v>37673.470184677513</v>
      </c>
      <c r="AI55" s="1">
        <v>36</v>
      </c>
      <c r="AJ55" s="1">
        <v>912</v>
      </c>
      <c r="AK55" s="1">
        <v>883</v>
      </c>
      <c r="AL55" s="1">
        <v>1063</v>
      </c>
    </row>
    <row r="56" spans="1:38" x14ac:dyDescent="0.35">
      <c r="A56">
        <v>83</v>
      </c>
      <c r="B56" t="s">
        <v>343</v>
      </c>
      <c r="C56" t="s">
        <v>54</v>
      </c>
      <c r="D56">
        <v>110000</v>
      </c>
      <c r="E56">
        <v>0</v>
      </c>
      <c r="F56" t="s">
        <v>344</v>
      </c>
      <c r="G56" t="s">
        <v>314</v>
      </c>
      <c r="H56" t="s">
        <v>341</v>
      </c>
      <c r="I56">
        <v>204</v>
      </c>
      <c r="J56">
        <v>0</v>
      </c>
      <c r="K56">
        <v>0</v>
      </c>
      <c r="L56">
        <v>204</v>
      </c>
      <c r="M56" t="s">
        <v>345</v>
      </c>
      <c r="O56">
        <v>0</v>
      </c>
      <c r="P56">
        <v>7752</v>
      </c>
      <c r="Q56">
        <v>56712</v>
      </c>
      <c r="R56" t="s">
        <v>75</v>
      </c>
      <c r="T56" t="s">
        <v>346</v>
      </c>
      <c r="U56" t="s">
        <v>49</v>
      </c>
      <c r="V56" t="s">
        <v>319</v>
      </c>
      <c r="Y56">
        <v>4247.390520675518</v>
      </c>
      <c r="Z56">
        <v>957921.42776762089</v>
      </c>
      <c r="AA56">
        <f t="shared" si="0"/>
        <v>254887.73171945574</v>
      </c>
      <c r="AB56">
        <f t="shared" si="1"/>
        <v>1</v>
      </c>
      <c r="AC56" s="6">
        <v>114962.4605780276</v>
      </c>
      <c r="AD56" s="1">
        <v>299</v>
      </c>
      <c r="AE56" s="1">
        <v>254584.51011963139</v>
      </c>
      <c r="AF56" s="1">
        <v>2</v>
      </c>
      <c r="AG56" s="1">
        <v>303.22159982433669</v>
      </c>
      <c r="AH56" s="1">
        <v>294.57651850330541</v>
      </c>
      <c r="AI56" s="1">
        <v>1</v>
      </c>
      <c r="AJ56" s="1">
        <v>2</v>
      </c>
      <c r="AK56" s="1">
        <v>297</v>
      </c>
      <c r="AL56" s="1">
        <v>2</v>
      </c>
    </row>
    <row r="57" spans="1:38" x14ac:dyDescent="0.35">
      <c r="A57">
        <v>101</v>
      </c>
      <c r="B57" t="s">
        <v>410</v>
      </c>
      <c r="F57" t="s">
        <v>411</v>
      </c>
      <c r="G57" t="s">
        <v>314</v>
      </c>
      <c r="M57" t="s">
        <v>412</v>
      </c>
      <c r="R57" t="s">
        <v>57</v>
      </c>
      <c r="S57" t="s">
        <v>413</v>
      </c>
      <c r="T57" t="s">
        <v>375</v>
      </c>
      <c r="U57" t="s">
        <v>49</v>
      </c>
      <c r="Y57">
        <v>2786.0500156728722</v>
      </c>
      <c r="Z57">
        <v>287704.13662423939</v>
      </c>
      <c r="AA57">
        <f t="shared" si="0"/>
        <v>444047.62335132051</v>
      </c>
      <c r="AB57">
        <f t="shared" si="1"/>
        <v>1</v>
      </c>
      <c r="AC57" s="6">
        <v>0</v>
      </c>
      <c r="AD57" s="1">
        <v>198</v>
      </c>
      <c r="AE57" s="1">
        <v>436881.48391765001</v>
      </c>
      <c r="AF57" s="1">
        <v>48</v>
      </c>
      <c r="AG57" s="1">
        <v>7166.1394336704807</v>
      </c>
      <c r="AH57" s="1">
        <v>315.66272014406633</v>
      </c>
      <c r="AI57" s="1">
        <v>1</v>
      </c>
      <c r="AJ57" s="1">
        <v>51</v>
      </c>
      <c r="AK57" s="1">
        <v>191</v>
      </c>
      <c r="AL57" s="1">
        <v>7</v>
      </c>
    </row>
    <row r="58" spans="1:38" x14ac:dyDescent="0.35">
      <c r="A58">
        <v>86</v>
      </c>
      <c r="B58" t="s">
        <v>357</v>
      </c>
      <c r="C58" t="s">
        <v>35</v>
      </c>
      <c r="D58">
        <v>540000</v>
      </c>
      <c r="E58">
        <v>29500000</v>
      </c>
      <c r="F58" t="s">
        <v>358</v>
      </c>
      <c r="G58" t="s">
        <v>314</v>
      </c>
      <c r="H58" t="s">
        <v>359</v>
      </c>
      <c r="I58">
        <v>0</v>
      </c>
      <c r="J58">
        <v>55</v>
      </c>
      <c r="K58">
        <v>0</v>
      </c>
      <c r="L58">
        <v>55</v>
      </c>
      <c r="M58" t="s">
        <v>354</v>
      </c>
      <c r="O58">
        <v>14165</v>
      </c>
      <c r="P58">
        <v>2083</v>
      </c>
      <c r="Q58">
        <v>15290</v>
      </c>
      <c r="R58" t="s">
        <v>57</v>
      </c>
      <c r="S58" t="s">
        <v>39</v>
      </c>
      <c r="T58" t="s">
        <v>360</v>
      </c>
      <c r="U58" t="s">
        <v>49</v>
      </c>
      <c r="V58" t="s">
        <v>319</v>
      </c>
      <c r="W58" t="s">
        <v>356</v>
      </c>
      <c r="Y58">
        <v>1358.2487533341259</v>
      </c>
      <c r="Z58">
        <v>126496.440742559</v>
      </c>
      <c r="AA58">
        <f t="shared" si="0"/>
        <v>1139.9056230052299</v>
      </c>
      <c r="AB58">
        <f t="shared" si="1"/>
        <v>2</v>
      </c>
      <c r="AC58" s="6">
        <v>1211</v>
      </c>
      <c r="AD58" s="1">
        <v>67</v>
      </c>
      <c r="AF58" s="1">
        <v>7</v>
      </c>
      <c r="AG58" s="1">
        <v>1139.9056230052299</v>
      </c>
      <c r="AH58" s="1">
        <v>1637.581588170596</v>
      </c>
      <c r="AI58" s="1">
        <v>2</v>
      </c>
      <c r="AJ58" s="1">
        <v>10</v>
      </c>
      <c r="AK58" s="1">
        <v>57</v>
      </c>
      <c r="AL58" s="1">
        <v>10</v>
      </c>
    </row>
    <row r="59" spans="1:38" x14ac:dyDescent="0.35">
      <c r="A59">
        <v>87</v>
      </c>
      <c r="B59" t="s">
        <v>361</v>
      </c>
      <c r="C59" t="s">
        <v>54</v>
      </c>
      <c r="D59">
        <v>190000</v>
      </c>
      <c r="E59">
        <v>44000000</v>
      </c>
      <c r="F59" t="s">
        <v>362</v>
      </c>
      <c r="G59" t="s">
        <v>314</v>
      </c>
      <c r="H59" t="s">
        <v>353</v>
      </c>
      <c r="I59">
        <v>0</v>
      </c>
      <c r="J59">
        <v>237</v>
      </c>
      <c r="K59">
        <v>0</v>
      </c>
      <c r="L59">
        <v>237</v>
      </c>
      <c r="M59" t="s">
        <v>354</v>
      </c>
      <c r="O59">
        <v>4903</v>
      </c>
      <c r="P59">
        <v>8974</v>
      </c>
      <c r="Q59">
        <v>65886</v>
      </c>
      <c r="R59" t="s">
        <v>57</v>
      </c>
      <c r="S59" t="s">
        <v>39</v>
      </c>
      <c r="T59" t="s">
        <v>360</v>
      </c>
      <c r="U59" t="s">
        <v>49</v>
      </c>
      <c r="V59" t="s">
        <v>319</v>
      </c>
      <c r="W59" t="s">
        <v>356</v>
      </c>
      <c r="Y59">
        <v>3852.808122723528</v>
      </c>
      <c r="Z59">
        <v>644293.8627572736</v>
      </c>
      <c r="AA59">
        <f t="shared" si="0"/>
        <v>176904.9014156175</v>
      </c>
      <c r="AB59">
        <f t="shared" si="1"/>
        <v>0</v>
      </c>
      <c r="AC59" s="6">
        <v>3.0851539155106207</v>
      </c>
      <c r="AD59" s="1">
        <v>263</v>
      </c>
      <c r="AE59" s="1">
        <v>176904.9014156175</v>
      </c>
      <c r="AK59" s="1">
        <v>263</v>
      </c>
      <c r="AL59" s="1"/>
    </row>
    <row r="60" spans="1:38" x14ac:dyDescent="0.35">
      <c r="A60">
        <v>88</v>
      </c>
      <c r="B60" t="s">
        <v>363</v>
      </c>
      <c r="C60" t="s">
        <v>89</v>
      </c>
      <c r="D60">
        <v>60000</v>
      </c>
      <c r="E60">
        <v>38100000</v>
      </c>
      <c r="F60" t="s">
        <v>364</v>
      </c>
      <c r="G60" t="s">
        <v>314</v>
      </c>
      <c r="H60" t="s">
        <v>365</v>
      </c>
      <c r="I60">
        <v>652</v>
      </c>
      <c r="J60">
        <v>0</v>
      </c>
      <c r="K60">
        <v>0</v>
      </c>
      <c r="L60">
        <v>652</v>
      </c>
      <c r="M60" t="s">
        <v>354</v>
      </c>
      <c r="O60">
        <v>1543</v>
      </c>
      <c r="P60">
        <v>24688</v>
      </c>
      <c r="Q60">
        <v>181256</v>
      </c>
      <c r="R60" t="s">
        <v>57</v>
      </c>
      <c r="S60" t="s">
        <v>39</v>
      </c>
      <c r="T60" t="s">
        <v>366</v>
      </c>
      <c r="U60" t="s">
        <v>49</v>
      </c>
      <c r="V60" t="s">
        <v>319</v>
      </c>
      <c r="W60" t="s">
        <v>356</v>
      </c>
      <c r="Y60">
        <v>4657.398224821507</v>
      </c>
      <c r="Z60">
        <v>1342723.8437986199</v>
      </c>
      <c r="AA60">
        <f t="shared" si="0"/>
        <v>505450.48814666952</v>
      </c>
      <c r="AB60">
        <f t="shared" si="1"/>
        <v>11</v>
      </c>
      <c r="AC60" s="6">
        <v>201.80583741424527</v>
      </c>
      <c r="AD60" s="1">
        <v>680</v>
      </c>
      <c r="AE60" s="1">
        <v>471673.62857496308</v>
      </c>
      <c r="AF60" s="1">
        <v>118</v>
      </c>
      <c r="AG60" s="1">
        <v>33776.859571706467</v>
      </c>
      <c r="AH60" s="1">
        <v>5812.7706693371438</v>
      </c>
      <c r="AI60" s="1">
        <v>11</v>
      </c>
      <c r="AJ60" s="1">
        <v>135</v>
      </c>
      <c r="AK60" s="1">
        <v>540</v>
      </c>
      <c r="AL60" s="1">
        <v>140</v>
      </c>
    </row>
    <row r="61" spans="1:38" x14ac:dyDescent="0.35">
      <c r="A61">
        <v>89</v>
      </c>
      <c r="B61" t="s">
        <v>367</v>
      </c>
      <c r="C61" t="s">
        <v>54</v>
      </c>
      <c r="D61">
        <v>160000</v>
      </c>
      <c r="E61">
        <v>30500000</v>
      </c>
      <c r="F61" t="s">
        <v>368</v>
      </c>
      <c r="G61" t="s">
        <v>314</v>
      </c>
      <c r="H61" t="s">
        <v>365</v>
      </c>
      <c r="I61">
        <v>149</v>
      </c>
      <c r="J61">
        <v>36</v>
      </c>
      <c r="K61">
        <v>0</v>
      </c>
      <c r="L61">
        <v>185</v>
      </c>
      <c r="M61" t="s">
        <v>354</v>
      </c>
      <c r="O61">
        <v>4354</v>
      </c>
      <c r="P61">
        <v>7005</v>
      </c>
      <c r="Q61">
        <v>51430</v>
      </c>
      <c r="R61" t="s">
        <v>57</v>
      </c>
      <c r="S61" t="s">
        <v>39</v>
      </c>
      <c r="T61" t="s">
        <v>369</v>
      </c>
      <c r="U61" t="s">
        <v>49</v>
      </c>
      <c r="V61" t="s">
        <v>319</v>
      </c>
      <c r="Y61">
        <v>3129.1157953301522</v>
      </c>
      <c r="Z61">
        <v>700493.83145856368</v>
      </c>
      <c r="AA61">
        <f t="shared" si="0"/>
        <v>204876.61272211227</v>
      </c>
      <c r="AB61">
        <f t="shared" si="1"/>
        <v>3</v>
      </c>
      <c r="AC61" s="6">
        <v>16391.872735246143</v>
      </c>
      <c r="AD61" s="1">
        <v>168</v>
      </c>
      <c r="AE61" s="1">
        <v>200366.1022245895</v>
      </c>
      <c r="AF61" s="1">
        <v>16</v>
      </c>
      <c r="AG61" s="1">
        <v>4510.5104975227832</v>
      </c>
      <c r="AH61" s="1">
        <v>776.58137591789637</v>
      </c>
      <c r="AI61" s="1">
        <v>3</v>
      </c>
      <c r="AJ61" s="1">
        <v>24</v>
      </c>
      <c r="AK61" s="1">
        <v>135</v>
      </c>
      <c r="AL61" s="1">
        <v>33</v>
      </c>
    </row>
    <row r="62" spans="1:38" x14ac:dyDescent="0.35">
      <c r="A62">
        <v>90</v>
      </c>
      <c r="B62" t="s">
        <v>370</v>
      </c>
      <c r="C62" t="s">
        <v>89</v>
      </c>
      <c r="D62">
        <v>70000</v>
      </c>
      <c r="E62">
        <v>67000000</v>
      </c>
      <c r="F62" t="s">
        <v>365</v>
      </c>
      <c r="G62" t="s">
        <v>314</v>
      </c>
      <c r="H62" t="s">
        <v>371</v>
      </c>
      <c r="I62">
        <v>325</v>
      </c>
      <c r="J62">
        <v>584</v>
      </c>
      <c r="K62">
        <v>0</v>
      </c>
      <c r="L62">
        <v>909</v>
      </c>
      <c r="M62" t="s">
        <v>354</v>
      </c>
      <c r="O62">
        <v>1947</v>
      </c>
      <c r="P62">
        <v>34419</v>
      </c>
      <c r="Q62">
        <v>252702</v>
      </c>
      <c r="R62" t="s">
        <v>57</v>
      </c>
      <c r="S62" t="s">
        <v>39</v>
      </c>
      <c r="T62" t="s">
        <v>369</v>
      </c>
      <c r="U62" t="s">
        <v>49</v>
      </c>
      <c r="V62" t="s">
        <v>319</v>
      </c>
      <c r="Y62">
        <v>7831.9845150926158</v>
      </c>
      <c r="Z62">
        <v>3212993.647439939</v>
      </c>
      <c r="AA62">
        <f t="shared" si="0"/>
        <v>853826.23633316183</v>
      </c>
      <c r="AB62">
        <f t="shared" si="1"/>
        <v>24</v>
      </c>
      <c r="AC62" s="6">
        <v>14819.112600692813</v>
      </c>
      <c r="AD62" s="1">
        <v>988</v>
      </c>
      <c r="AE62" s="1">
        <v>602671.48080770567</v>
      </c>
      <c r="AF62" s="1">
        <v>401</v>
      </c>
      <c r="AG62" s="1">
        <v>251154.75552545619</v>
      </c>
      <c r="AH62" s="1">
        <v>23258.418919083189</v>
      </c>
      <c r="AI62" s="1">
        <v>24</v>
      </c>
      <c r="AJ62" s="1">
        <v>445</v>
      </c>
      <c r="AK62" s="1">
        <v>453</v>
      </c>
      <c r="AL62" s="1">
        <v>535</v>
      </c>
    </row>
    <row r="63" spans="1:38" x14ac:dyDescent="0.35">
      <c r="A63">
        <v>91</v>
      </c>
      <c r="B63" t="s">
        <v>372</v>
      </c>
      <c r="C63" t="s">
        <v>54</v>
      </c>
      <c r="D63">
        <v>140000</v>
      </c>
      <c r="E63">
        <v>9800000</v>
      </c>
      <c r="F63" t="s">
        <v>373</v>
      </c>
      <c r="G63" t="s">
        <v>314</v>
      </c>
      <c r="H63" t="s">
        <v>373</v>
      </c>
      <c r="I63">
        <v>0</v>
      </c>
      <c r="J63">
        <v>70</v>
      </c>
      <c r="K63">
        <v>0</v>
      </c>
      <c r="L63">
        <v>70</v>
      </c>
      <c r="M63" t="s">
        <v>374</v>
      </c>
      <c r="O63">
        <v>3697</v>
      </c>
      <c r="P63">
        <v>2651</v>
      </c>
      <c r="Q63">
        <v>19460</v>
      </c>
      <c r="R63" t="s">
        <v>85</v>
      </c>
      <c r="S63" t="s">
        <v>39</v>
      </c>
      <c r="T63" t="s">
        <v>375</v>
      </c>
      <c r="U63" t="s">
        <v>49</v>
      </c>
      <c r="V63" t="s">
        <v>319</v>
      </c>
      <c r="Y63">
        <v>1656.874340179822</v>
      </c>
      <c r="Z63">
        <v>166353.69416551781</v>
      </c>
      <c r="AA63">
        <f t="shared" si="0"/>
        <v>65966.727244074267</v>
      </c>
      <c r="AB63">
        <f t="shared" si="1"/>
        <v>2</v>
      </c>
      <c r="AC63" s="6">
        <v>264.53259492915493</v>
      </c>
      <c r="AD63" s="1">
        <v>90</v>
      </c>
      <c r="AE63" s="1">
        <v>40403.471367809783</v>
      </c>
      <c r="AF63" s="1">
        <v>41</v>
      </c>
      <c r="AG63" s="1">
        <v>25563.25587626448</v>
      </c>
      <c r="AH63" s="1">
        <v>1905.181500031641</v>
      </c>
      <c r="AI63" s="1">
        <v>2</v>
      </c>
      <c r="AJ63" s="1">
        <v>48</v>
      </c>
      <c r="AK63" s="1">
        <v>42</v>
      </c>
      <c r="AL63" s="1">
        <v>48</v>
      </c>
    </row>
    <row r="64" spans="1:38" x14ac:dyDescent="0.35">
      <c r="A64">
        <v>92</v>
      </c>
      <c r="B64" t="s">
        <v>376</v>
      </c>
      <c r="C64" t="s">
        <v>89</v>
      </c>
      <c r="D64">
        <v>80000</v>
      </c>
      <c r="E64">
        <v>27100000</v>
      </c>
      <c r="F64" t="s">
        <v>377</v>
      </c>
      <c r="G64" t="s">
        <v>314</v>
      </c>
      <c r="H64" t="s">
        <v>373</v>
      </c>
      <c r="I64">
        <v>0</v>
      </c>
      <c r="J64">
        <v>348</v>
      </c>
      <c r="K64">
        <v>0</v>
      </c>
      <c r="L64">
        <v>348</v>
      </c>
      <c r="M64" t="s">
        <v>378</v>
      </c>
      <c r="O64">
        <v>2057</v>
      </c>
      <c r="P64">
        <v>13177</v>
      </c>
      <c r="Q64">
        <v>96744</v>
      </c>
      <c r="R64" t="s">
        <v>75</v>
      </c>
      <c r="T64" t="s">
        <v>379</v>
      </c>
      <c r="U64" t="s">
        <v>49</v>
      </c>
      <c r="V64" t="s">
        <v>319</v>
      </c>
      <c r="Y64">
        <v>3115.182203348556</v>
      </c>
      <c r="Z64">
        <v>702658.04934292089</v>
      </c>
      <c r="AA64">
        <f t="shared" si="0"/>
        <v>480314.69421601866</v>
      </c>
      <c r="AB64">
        <f t="shared" si="1"/>
        <v>8</v>
      </c>
      <c r="AC64" s="6">
        <v>5407.5525266275181</v>
      </c>
      <c r="AD64" s="1">
        <v>358</v>
      </c>
      <c r="AE64" s="1">
        <v>53492.141901690673</v>
      </c>
      <c r="AF64" s="1">
        <v>299</v>
      </c>
      <c r="AG64" s="1">
        <v>426822.55231432797</v>
      </c>
      <c r="AH64" s="1">
        <v>10121.84982975073</v>
      </c>
      <c r="AI64" s="1">
        <v>8</v>
      </c>
      <c r="AJ64" s="1">
        <v>316</v>
      </c>
      <c r="AK64" s="1">
        <v>49</v>
      </c>
      <c r="AL64" s="1">
        <v>309</v>
      </c>
    </row>
    <row r="65" spans="1:38" x14ac:dyDescent="0.35">
      <c r="A65">
        <v>42</v>
      </c>
      <c r="B65" t="s">
        <v>178</v>
      </c>
      <c r="C65" t="s">
        <v>63</v>
      </c>
      <c r="D65">
        <v>290000</v>
      </c>
      <c r="E65">
        <v>46800000</v>
      </c>
      <c r="F65" t="s">
        <v>179</v>
      </c>
      <c r="G65" t="s">
        <v>180</v>
      </c>
      <c r="H65" t="s">
        <v>181</v>
      </c>
      <c r="I65">
        <v>0</v>
      </c>
      <c r="J65">
        <v>161</v>
      </c>
      <c r="K65">
        <v>0</v>
      </c>
      <c r="L65">
        <v>161</v>
      </c>
      <c r="M65" t="s">
        <v>182</v>
      </c>
      <c r="O65">
        <v>7677</v>
      </c>
      <c r="P65">
        <v>6096</v>
      </c>
      <c r="Q65">
        <v>44758</v>
      </c>
      <c r="R65" t="s">
        <v>57</v>
      </c>
      <c r="S65" t="s">
        <v>39</v>
      </c>
      <c r="T65" t="s">
        <v>183</v>
      </c>
      <c r="U65" t="s">
        <v>60</v>
      </c>
      <c r="V65" t="s">
        <v>184</v>
      </c>
      <c r="W65" t="s">
        <v>185</v>
      </c>
      <c r="Y65">
        <v>3074.3385215692128</v>
      </c>
      <c r="Z65">
        <v>554671.02301476349</v>
      </c>
      <c r="AA65">
        <f t="shared" si="0"/>
        <v>181100.74843152895</v>
      </c>
      <c r="AB65">
        <f t="shared" si="1"/>
        <v>5</v>
      </c>
      <c r="AC65" s="6">
        <v>35.057544535353969</v>
      </c>
      <c r="AD65" s="1">
        <v>281</v>
      </c>
      <c r="AE65" s="1">
        <v>171190.61083934261</v>
      </c>
      <c r="AF65" s="1">
        <v>68</v>
      </c>
      <c r="AG65" s="1">
        <v>9910.1375921863346</v>
      </c>
      <c r="AH65" s="1">
        <v>2025.553948989043</v>
      </c>
      <c r="AI65" s="1">
        <v>5</v>
      </c>
      <c r="AJ65" s="1">
        <v>94</v>
      </c>
      <c r="AK65" s="1">
        <v>187</v>
      </c>
      <c r="AL65" s="1">
        <v>94</v>
      </c>
    </row>
    <row r="66" spans="1:38" x14ac:dyDescent="0.35">
      <c r="A66">
        <v>51</v>
      </c>
      <c r="B66" t="s">
        <v>221</v>
      </c>
      <c r="C66" t="s">
        <v>35</v>
      </c>
      <c r="D66">
        <v>0</v>
      </c>
      <c r="E66">
        <v>0</v>
      </c>
      <c r="F66" t="s">
        <v>222</v>
      </c>
      <c r="G66" t="s">
        <v>180</v>
      </c>
      <c r="H66" t="s">
        <v>223</v>
      </c>
      <c r="I66">
        <v>0</v>
      </c>
      <c r="J66">
        <v>0</v>
      </c>
      <c r="K66">
        <v>253</v>
      </c>
      <c r="L66">
        <v>253</v>
      </c>
      <c r="O66">
        <v>0</v>
      </c>
      <c r="P66">
        <v>9614</v>
      </c>
      <c r="Q66">
        <v>70334</v>
      </c>
      <c r="R66" t="s">
        <v>39</v>
      </c>
      <c r="T66" t="s">
        <v>224</v>
      </c>
      <c r="U66" t="s">
        <v>49</v>
      </c>
      <c r="V66" t="s">
        <v>184</v>
      </c>
      <c r="Y66">
        <v>3795.3189645909069</v>
      </c>
      <c r="Z66">
        <v>1025813.253954193</v>
      </c>
      <c r="AA66">
        <f t="shared" si="0"/>
        <v>1021968.1728218797</v>
      </c>
      <c r="AB66">
        <f t="shared" si="1"/>
        <v>2</v>
      </c>
      <c r="AC66" s="6">
        <v>25000</v>
      </c>
      <c r="AD66" s="1">
        <v>382</v>
      </c>
      <c r="AE66" s="1">
        <v>960110.02827213029</v>
      </c>
      <c r="AF66" s="1">
        <v>86</v>
      </c>
      <c r="AG66" s="1">
        <v>61858.144549749471</v>
      </c>
      <c r="AH66" s="1">
        <v>8779.7501248906665</v>
      </c>
      <c r="AI66" s="1">
        <v>2</v>
      </c>
      <c r="AJ66" s="1">
        <v>53</v>
      </c>
      <c r="AK66" s="1">
        <v>305</v>
      </c>
      <c r="AL66" s="1">
        <v>77</v>
      </c>
    </row>
    <row r="67" spans="1:38" x14ac:dyDescent="0.35">
      <c r="A67">
        <v>52</v>
      </c>
      <c r="B67" t="s">
        <v>225</v>
      </c>
      <c r="C67" t="s">
        <v>35</v>
      </c>
      <c r="D67">
        <v>0</v>
      </c>
      <c r="E67">
        <v>0</v>
      </c>
      <c r="F67" t="s">
        <v>223</v>
      </c>
      <c r="G67" t="s">
        <v>180</v>
      </c>
      <c r="H67" t="s">
        <v>223</v>
      </c>
      <c r="I67">
        <v>0</v>
      </c>
      <c r="J67">
        <v>0</v>
      </c>
      <c r="K67">
        <v>99</v>
      </c>
      <c r="L67">
        <v>99</v>
      </c>
      <c r="O67">
        <v>0</v>
      </c>
      <c r="P67">
        <v>3762</v>
      </c>
      <c r="Q67">
        <v>27522</v>
      </c>
      <c r="R67" t="s">
        <v>39</v>
      </c>
      <c r="T67" t="s">
        <v>224</v>
      </c>
      <c r="U67" t="s">
        <v>49</v>
      </c>
      <c r="V67" t="s">
        <v>184</v>
      </c>
      <c r="Y67">
        <v>2092.053619330472</v>
      </c>
      <c r="Z67">
        <v>298684.90955418308</v>
      </c>
      <c r="AA67">
        <f t="shared" ref="AA67:AA103" si="2">AE67+AG67</f>
        <v>255841.37530861262</v>
      </c>
      <c r="AB67">
        <f t="shared" ref="AB67:AB103" si="3">AI67</f>
        <v>4</v>
      </c>
      <c r="AC67" s="6">
        <v>27000</v>
      </c>
      <c r="AD67" s="1">
        <v>124</v>
      </c>
      <c r="AE67" s="1">
        <v>52655.607596036709</v>
      </c>
      <c r="AF67" s="1">
        <v>167</v>
      </c>
      <c r="AG67" s="1">
        <v>203185.76771257591</v>
      </c>
      <c r="AH67" s="1">
        <v>4494.3948695725303</v>
      </c>
      <c r="AI67" s="1">
        <v>4</v>
      </c>
      <c r="AJ67" s="1">
        <v>149</v>
      </c>
      <c r="AK67" s="1">
        <v>48</v>
      </c>
      <c r="AL67" s="1">
        <v>76</v>
      </c>
    </row>
    <row r="68" spans="1:38" x14ac:dyDescent="0.35">
      <c r="A68">
        <v>53</v>
      </c>
      <c r="B68" t="s">
        <v>226</v>
      </c>
      <c r="C68" t="s">
        <v>35</v>
      </c>
      <c r="D68">
        <v>0</v>
      </c>
      <c r="E68">
        <v>0</v>
      </c>
      <c r="F68" t="s">
        <v>227</v>
      </c>
      <c r="G68" t="s">
        <v>180</v>
      </c>
      <c r="H68" t="s">
        <v>227</v>
      </c>
      <c r="I68">
        <v>0</v>
      </c>
      <c r="J68">
        <v>0</v>
      </c>
      <c r="K68">
        <v>108</v>
      </c>
      <c r="L68">
        <v>108</v>
      </c>
      <c r="O68">
        <v>0</v>
      </c>
      <c r="P68">
        <v>4104</v>
      </c>
      <c r="Q68">
        <v>30024</v>
      </c>
      <c r="R68" t="s">
        <v>39</v>
      </c>
      <c r="T68" t="s">
        <v>228</v>
      </c>
      <c r="U68" t="s">
        <v>49</v>
      </c>
      <c r="V68" t="s">
        <v>184</v>
      </c>
      <c r="Y68">
        <v>1927.2091617942719</v>
      </c>
      <c r="Z68">
        <v>236751.4778245248</v>
      </c>
      <c r="AA68">
        <f t="shared" si="2"/>
        <v>152546.53380996065</v>
      </c>
      <c r="AB68">
        <f t="shared" si="3"/>
        <v>3</v>
      </c>
      <c r="AC68" s="6">
        <v>225721.86658095077</v>
      </c>
      <c r="AD68" s="1">
        <v>134</v>
      </c>
      <c r="AE68" s="1">
        <v>92583.480014349552</v>
      </c>
      <c r="AF68" s="1">
        <v>107</v>
      </c>
      <c r="AG68" s="1">
        <v>59963.053795611093</v>
      </c>
      <c r="AH68" s="1">
        <v>1582.224948101742</v>
      </c>
      <c r="AI68" s="1">
        <v>3</v>
      </c>
      <c r="AJ68" s="1">
        <v>111</v>
      </c>
      <c r="AK68" s="1">
        <v>63</v>
      </c>
      <c r="AL68" s="1">
        <v>71</v>
      </c>
    </row>
    <row r="69" spans="1:38" x14ac:dyDescent="0.35">
      <c r="A69">
        <v>54</v>
      </c>
      <c r="B69" t="s">
        <v>229</v>
      </c>
      <c r="C69" t="s">
        <v>35</v>
      </c>
      <c r="D69">
        <v>0</v>
      </c>
      <c r="E69">
        <v>0</v>
      </c>
      <c r="F69" t="s">
        <v>230</v>
      </c>
      <c r="G69" t="s">
        <v>180</v>
      </c>
      <c r="H69" t="s">
        <v>223</v>
      </c>
      <c r="I69">
        <v>0</v>
      </c>
      <c r="J69">
        <v>0</v>
      </c>
      <c r="K69">
        <v>108</v>
      </c>
      <c r="L69">
        <v>108</v>
      </c>
      <c r="O69">
        <v>0</v>
      </c>
      <c r="P69">
        <v>4104</v>
      </c>
      <c r="Q69">
        <v>30024</v>
      </c>
      <c r="R69" t="s">
        <v>39</v>
      </c>
      <c r="T69" t="s">
        <v>224</v>
      </c>
      <c r="U69" t="s">
        <v>49</v>
      </c>
      <c r="V69" t="s">
        <v>184</v>
      </c>
      <c r="Y69">
        <v>2598.6268739508168</v>
      </c>
      <c r="Z69">
        <v>405118.44273856131</v>
      </c>
      <c r="AA69">
        <f t="shared" si="2"/>
        <v>159779.5280633381</v>
      </c>
      <c r="AB69">
        <f t="shared" si="3"/>
        <v>2</v>
      </c>
      <c r="AC69" s="6">
        <v>19685.512111954245</v>
      </c>
      <c r="AD69" s="1">
        <v>161</v>
      </c>
      <c r="AE69" s="1">
        <v>149912.8471316385</v>
      </c>
      <c r="AF69" s="1">
        <v>27</v>
      </c>
      <c r="AG69" s="1">
        <v>9866.680931699615</v>
      </c>
      <c r="AH69" s="1">
        <v>2309.230481658873</v>
      </c>
      <c r="AI69" s="1">
        <v>2</v>
      </c>
      <c r="AJ69" s="1">
        <v>16</v>
      </c>
      <c r="AK69" s="1">
        <v>130</v>
      </c>
      <c r="AL69" s="1">
        <v>31</v>
      </c>
    </row>
    <row r="70" spans="1:38" x14ac:dyDescent="0.35">
      <c r="A70">
        <v>49</v>
      </c>
      <c r="B70" t="s">
        <v>212</v>
      </c>
      <c r="C70" t="s">
        <v>89</v>
      </c>
      <c r="D70">
        <v>80000</v>
      </c>
      <c r="E70">
        <v>0</v>
      </c>
      <c r="F70" t="s">
        <v>213</v>
      </c>
      <c r="G70" t="s">
        <v>180</v>
      </c>
      <c r="H70" t="s">
        <v>214</v>
      </c>
      <c r="I70">
        <v>0</v>
      </c>
      <c r="J70">
        <v>0</v>
      </c>
      <c r="K70">
        <v>1207</v>
      </c>
      <c r="L70">
        <v>1207</v>
      </c>
      <c r="M70" t="s">
        <v>215</v>
      </c>
      <c r="O70">
        <v>0</v>
      </c>
      <c r="P70">
        <v>45866</v>
      </c>
      <c r="Q70">
        <v>335546</v>
      </c>
      <c r="R70" t="s">
        <v>75</v>
      </c>
      <c r="T70" t="s">
        <v>216</v>
      </c>
      <c r="U70" t="s">
        <v>49</v>
      </c>
      <c r="V70" t="s">
        <v>184</v>
      </c>
      <c r="Y70">
        <v>7872.5294870105099</v>
      </c>
      <c r="Z70">
        <v>3993519.1543469941</v>
      </c>
      <c r="AA70">
        <f t="shared" si="2"/>
        <v>1511779.0859979736</v>
      </c>
      <c r="AB70">
        <f t="shared" si="3"/>
        <v>24</v>
      </c>
      <c r="AC70" s="6">
        <v>13501.202637545317</v>
      </c>
      <c r="AD70" s="1">
        <v>1606</v>
      </c>
      <c r="AE70" s="1">
        <v>944808.79289190331</v>
      </c>
      <c r="AF70" s="1">
        <v>528</v>
      </c>
      <c r="AG70" s="1">
        <v>566970.29310607025</v>
      </c>
      <c r="AH70" s="1">
        <v>24111.029812180848</v>
      </c>
      <c r="AI70" s="1">
        <v>24</v>
      </c>
      <c r="AJ70" s="1">
        <v>559</v>
      </c>
      <c r="AK70" s="1">
        <v>973</v>
      </c>
      <c r="AL70" s="1">
        <v>633</v>
      </c>
    </row>
    <row r="71" spans="1:38" x14ac:dyDescent="0.35">
      <c r="A71">
        <v>50</v>
      </c>
      <c r="B71" t="s">
        <v>217</v>
      </c>
      <c r="C71" t="s">
        <v>35</v>
      </c>
      <c r="D71">
        <v>50000</v>
      </c>
      <c r="E71">
        <v>0</v>
      </c>
      <c r="F71" t="s">
        <v>218</v>
      </c>
      <c r="G71" t="s">
        <v>180</v>
      </c>
      <c r="H71" t="s">
        <v>219</v>
      </c>
      <c r="I71">
        <v>0</v>
      </c>
      <c r="J71">
        <v>0</v>
      </c>
      <c r="K71">
        <v>1802</v>
      </c>
      <c r="L71">
        <v>1802</v>
      </c>
      <c r="O71">
        <v>0</v>
      </c>
      <c r="P71">
        <v>68476</v>
      </c>
      <c r="Q71">
        <v>500956</v>
      </c>
      <c r="R71" t="s">
        <v>39</v>
      </c>
      <c r="T71" t="s">
        <v>220</v>
      </c>
      <c r="U71" t="s">
        <v>49</v>
      </c>
      <c r="V71" t="s">
        <v>184</v>
      </c>
      <c r="Y71">
        <v>9131.1850110409905</v>
      </c>
      <c r="Z71">
        <v>5670527.5145538496</v>
      </c>
      <c r="AA71">
        <f t="shared" si="2"/>
        <v>2834295.2425737018</v>
      </c>
      <c r="AB71">
        <f t="shared" si="3"/>
        <v>32</v>
      </c>
      <c r="AC71" s="6">
        <v>21898.852567235299</v>
      </c>
      <c r="AD71" s="1">
        <v>1908</v>
      </c>
      <c r="AE71" s="1">
        <v>2321512.6447340781</v>
      </c>
      <c r="AF71" s="1">
        <v>600</v>
      </c>
      <c r="AG71" s="1">
        <v>512782.59783962357</v>
      </c>
      <c r="AH71" s="1">
        <v>33521.023885969124</v>
      </c>
      <c r="AI71" s="1">
        <v>32</v>
      </c>
      <c r="AJ71" s="1">
        <v>730</v>
      </c>
      <c r="AK71" s="1">
        <v>1093</v>
      </c>
      <c r="AL71" s="1">
        <v>815</v>
      </c>
    </row>
    <row r="72" spans="1:38" x14ac:dyDescent="0.35">
      <c r="A72">
        <v>43</v>
      </c>
      <c r="B72" t="s">
        <v>186</v>
      </c>
      <c r="C72" t="s">
        <v>35</v>
      </c>
      <c r="D72">
        <v>660000</v>
      </c>
      <c r="E72">
        <v>38100000</v>
      </c>
      <c r="F72" t="s">
        <v>187</v>
      </c>
      <c r="G72" t="s">
        <v>180</v>
      </c>
      <c r="H72" t="s">
        <v>188</v>
      </c>
      <c r="I72">
        <v>0</v>
      </c>
      <c r="J72">
        <v>0</v>
      </c>
      <c r="K72">
        <v>58</v>
      </c>
      <c r="L72">
        <v>58</v>
      </c>
      <c r="M72" t="s">
        <v>182</v>
      </c>
      <c r="O72">
        <v>17348</v>
      </c>
      <c r="P72">
        <v>2196</v>
      </c>
      <c r="Q72">
        <v>16124</v>
      </c>
      <c r="R72" t="s">
        <v>57</v>
      </c>
      <c r="S72" t="s">
        <v>39</v>
      </c>
      <c r="T72" t="s">
        <v>189</v>
      </c>
      <c r="U72" t="s">
        <v>41</v>
      </c>
      <c r="V72" t="s">
        <v>184</v>
      </c>
      <c r="W72" t="s">
        <v>185</v>
      </c>
      <c r="Y72">
        <v>1409.412241196645</v>
      </c>
      <c r="Z72">
        <v>132071.21149058541</v>
      </c>
      <c r="AA72">
        <f t="shared" si="2"/>
        <v>148399.14709852901</v>
      </c>
      <c r="AB72">
        <f t="shared" si="3"/>
        <v>0</v>
      </c>
      <c r="AC72" s="6">
        <v>2800</v>
      </c>
      <c r="AD72" s="1">
        <v>82</v>
      </c>
      <c r="AE72" s="1">
        <v>148399.14709852901</v>
      </c>
      <c r="AK72" s="1">
        <v>82</v>
      </c>
      <c r="AL72" s="1"/>
    </row>
    <row r="73" spans="1:38" x14ac:dyDescent="0.35">
      <c r="A73">
        <v>44</v>
      </c>
      <c r="B73" t="s">
        <v>190</v>
      </c>
      <c r="C73" t="s">
        <v>35</v>
      </c>
      <c r="D73">
        <v>490000</v>
      </c>
      <c r="E73">
        <v>38700000</v>
      </c>
      <c r="F73" t="s">
        <v>191</v>
      </c>
      <c r="G73" t="s">
        <v>180</v>
      </c>
      <c r="H73" t="s">
        <v>181</v>
      </c>
      <c r="I73">
        <v>0</v>
      </c>
      <c r="J73">
        <v>79</v>
      </c>
      <c r="K73">
        <v>0</v>
      </c>
      <c r="L73">
        <v>79</v>
      </c>
      <c r="M73" t="s">
        <v>182</v>
      </c>
      <c r="O73">
        <v>12937</v>
      </c>
      <c r="P73">
        <v>2991</v>
      </c>
      <c r="Q73">
        <v>21962</v>
      </c>
      <c r="R73" t="s">
        <v>57</v>
      </c>
      <c r="S73" t="s">
        <v>39</v>
      </c>
      <c r="T73" t="s">
        <v>192</v>
      </c>
      <c r="U73" t="s">
        <v>41</v>
      </c>
      <c r="V73" t="s">
        <v>184</v>
      </c>
      <c r="W73" t="s">
        <v>185</v>
      </c>
      <c r="Y73">
        <v>1523.3328616781371</v>
      </c>
      <c r="Z73">
        <v>154746.1532430466</v>
      </c>
      <c r="AA73">
        <f t="shared" si="2"/>
        <v>45687.717238074678</v>
      </c>
      <c r="AB73">
        <f t="shared" si="3"/>
        <v>1</v>
      </c>
      <c r="AC73" s="6">
        <v>903.64266346333068</v>
      </c>
      <c r="AD73" s="1">
        <v>98</v>
      </c>
      <c r="AE73" s="1">
        <v>36622.075034472888</v>
      </c>
      <c r="AF73" s="1">
        <v>37</v>
      </c>
      <c r="AG73" s="1">
        <v>9065.6422036017884</v>
      </c>
      <c r="AH73" s="1">
        <v>2691.4175955329201</v>
      </c>
      <c r="AI73" s="1">
        <v>1</v>
      </c>
      <c r="AJ73" s="1">
        <v>12</v>
      </c>
      <c r="AK73" s="1">
        <v>58</v>
      </c>
      <c r="AL73" s="1">
        <v>40</v>
      </c>
    </row>
    <row r="74" spans="1:38" x14ac:dyDescent="0.35">
      <c r="A74">
        <v>45</v>
      </c>
      <c r="B74" t="s">
        <v>193</v>
      </c>
      <c r="C74" t="s">
        <v>54</v>
      </c>
      <c r="D74">
        <v>160000</v>
      </c>
      <c r="E74">
        <v>40200000</v>
      </c>
      <c r="F74" t="s">
        <v>194</v>
      </c>
      <c r="G74" t="s">
        <v>180</v>
      </c>
      <c r="H74" t="s">
        <v>195</v>
      </c>
      <c r="I74">
        <v>252</v>
      </c>
      <c r="J74">
        <v>0</v>
      </c>
      <c r="K74">
        <v>0</v>
      </c>
      <c r="L74">
        <v>252</v>
      </c>
      <c r="M74" t="s">
        <v>196</v>
      </c>
      <c r="O74">
        <v>4213</v>
      </c>
      <c r="P74">
        <v>9542</v>
      </c>
      <c r="Q74">
        <v>70056</v>
      </c>
      <c r="R74" t="s">
        <v>57</v>
      </c>
      <c r="S74" t="s">
        <v>197</v>
      </c>
      <c r="T74" t="s">
        <v>198</v>
      </c>
      <c r="U74" t="s">
        <v>41</v>
      </c>
      <c r="V74" t="s">
        <v>184</v>
      </c>
      <c r="Y74">
        <v>2443.086239608263</v>
      </c>
      <c r="Z74">
        <v>382975.77238555357</v>
      </c>
      <c r="AA74">
        <f t="shared" si="2"/>
        <v>62895.271941984436</v>
      </c>
      <c r="AB74">
        <f t="shared" si="3"/>
        <v>1</v>
      </c>
      <c r="AC74" s="6">
        <v>89.956782577760933</v>
      </c>
      <c r="AD74" s="1">
        <v>219</v>
      </c>
      <c r="AE74" s="1">
        <v>62840.304484735767</v>
      </c>
      <c r="AF74" s="1">
        <v>1</v>
      </c>
      <c r="AG74" s="1">
        <v>54.967457248668531</v>
      </c>
      <c r="AH74" s="1">
        <v>162.92491552125401</v>
      </c>
      <c r="AI74" s="1">
        <v>1</v>
      </c>
      <c r="AJ74" s="1">
        <v>2</v>
      </c>
      <c r="AK74" s="1">
        <v>101</v>
      </c>
      <c r="AL74" s="1">
        <v>118</v>
      </c>
    </row>
    <row r="75" spans="1:38" x14ac:dyDescent="0.35">
      <c r="A75">
        <v>97</v>
      </c>
      <c r="B75" t="s">
        <v>395</v>
      </c>
      <c r="C75" t="s">
        <v>35</v>
      </c>
      <c r="D75">
        <v>3300000</v>
      </c>
      <c r="E75">
        <v>23400000</v>
      </c>
      <c r="F75" t="s">
        <v>396</v>
      </c>
      <c r="G75" t="s">
        <v>180</v>
      </c>
      <c r="H75" t="s">
        <v>397</v>
      </c>
      <c r="I75">
        <v>0</v>
      </c>
      <c r="J75">
        <v>7</v>
      </c>
      <c r="K75">
        <v>0</v>
      </c>
      <c r="L75">
        <v>7</v>
      </c>
      <c r="M75" t="s">
        <v>182</v>
      </c>
      <c r="O75">
        <v>88301</v>
      </c>
      <c r="P75">
        <v>265</v>
      </c>
      <c r="Q75">
        <v>1946</v>
      </c>
      <c r="R75" t="s">
        <v>57</v>
      </c>
      <c r="S75" t="s">
        <v>39</v>
      </c>
      <c r="T75" t="s">
        <v>398</v>
      </c>
      <c r="U75" t="s">
        <v>41</v>
      </c>
      <c r="V75" t="s">
        <v>184</v>
      </c>
      <c r="W75" t="s">
        <v>185</v>
      </c>
      <c r="Y75">
        <v>654.38266105448474</v>
      </c>
      <c r="Z75">
        <v>23257.992156767759</v>
      </c>
      <c r="AA75">
        <f t="shared" si="2"/>
        <v>10570.942448480049</v>
      </c>
      <c r="AB75">
        <f t="shared" si="3"/>
        <v>1</v>
      </c>
      <c r="AC75" s="6">
        <v>0</v>
      </c>
      <c r="AD75" s="1">
        <v>7</v>
      </c>
      <c r="AF75" s="1">
        <v>24</v>
      </c>
      <c r="AG75" s="1">
        <v>10570.942448480049</v>
      </c>
      <c r="AH75" s="1">
        <v>468.29038276291078</v>
      </c>
      <c r="AI75" s="1">
        <v>1</v>
      </c>
      <c r="AJ75" s="1">
        <v>27</v>
      </c>
      <c r="AK75" s="1"/>
      <c r="AL75" s="1">
        <v>7</v>
      </c>
    </row>
    <row r="76" spans="1:38" x14ac:dyDescent="0.35">
      <c r="A76">
        <v>98</v>
      </c>
      <c r="B76" t="s">
        <v>399</v>
      </c>
      <c r="C76" t="s">
        <v>89</v>
      </c>
      <c r="D76">
        <v>90000</v>
      </c>
      <c r="E76">
        <v>694000</v>
      </c>
      <c r="F76" t="s">
        <v>179</v>
      </c>
      <c r="G76" t="s">
        <v>180</v>
      </c>
      <c r="H76" t="s">
        <v>181</v>
      </c>
      <c r="I76">
        <v>0</v>
      </c>
      <c r="J76">
        <v>8</v>
      </c>
      <c r="K76">
        <v>0</v>
      </c>
      <c r="L76">
        <v>8</v>
      </c>
      <c r="M76" t="s">
        <v>182</v>
      </c>
      <c r="O76">
        <v>0</v>
      </c>
      <c r="P76">
        <v>304</v>
      </c>
      <c r="Q76">
        <v>2224</v>
      </c>
      <c r="R76" t="s">
        <v>57</v>
      </c>
      <c r="S76" t="s">
        <v>39</v>
      </c>
      <c r="T76" t="s">
        <v>400</v>
      </c>
      <c r="U76" t="s">
        <v>49</v>
      </c>
      <c r="V76" t="s">
        <v>184</v>
      </c>
      <c r="W76" t="s">
        <v>185</v>
      </c>
      <c r="Y76">
        <v>572.73475228743951</v>
      </c>
      <c r="Z76">
        <v>17644.55746121726</v>
      </c>
      <c r="AA76">
        <f t="shared" si="2"/>
        <v>25734.399055541438</v>
      </c>
      <c r="AB76">
        <f t="shared" si="3"/>
        <v>0</v>
      </c>
      <c r="AC76" s="6">
        <v>190.19449884349143</v>
      </c>
      <c r="AD76" s="1">
        <v>28</v>
      </c>
      <c r="AE76" s="1">
        <v>25734.399055541438</v>
      </c>
      <c r="AK76" s="1">
        <v>28</v>
      </c>
      <c r="AL76" s="1"/>
    </row>
    <row r="77" spans="1:38" x14ac:dyDescent="0.35">
      <c r="A77">
        <v>46</v>
      </c>
      <c r="B77" t="s">
        <v>199</v>
      </c>
      <c r="C77" t="s">
        <v>89</v>
      </c>
      <c r="D77">
        <v>100000</v>
      </c>
      <c r="E77">
        <v>62000000</v>
      </c>
      <c r="F77" t="s">
        <v>200</v>
      </c>
      <c r="G77" t="s">
        <v>180</v>
      </c>
      <c r="H77" t="s">
        <v>201</v>
      </c>
      <c r="I77">
        <v>0</v>
      </c>
      <c r="J77">
        <v>616</v>
      </c>
      <c r="K77">
        <v>0</v>
      </c>
      <c r="L77">
        <v>616</v>
      </c>
      <c r="M77" t="s">
        <v>202</v>
      </c>
      <c r="N77" t="s">
        <v>203</v>
      </c>
      <c r="O77">
        <v>2658</v>
      </c>
      <c r="P77">
        <v>23325</v>
      </c>
      <c r="Q77">
        <v>171248</v>
      </c>
      <c r="R77" t="s">
        <v>85</v>
      </c>
      <c r="S77" t="s">
        <v>197</v>
      </c>
      <c r="T77" t="s">
        <v>204</v>
      </c>
      <c r="U77" t="s">
        <v>49</v>
      </c>
      <c r="V77" t="s">
        <v>184</v>
      </c>
      <c r="W77" t="s">
        <v>205</v>
      </c>
      <c r="Y77">
        <v>5588.3642695750423</v>
      </c>
      <c r="Z77">
        <v>1904339.172715453</v>
      </c>
      <c r="AA77">
        <f t="shared" si="2"/>
        <v>1849990.8283447584</v>
      </c>
      <c r="AB77">
        <f t="shared" si="3"/>
        <v>13</v>
      </c>
      <c r="AC77" s="6">
        <v>860.90289643886285</v>
      </c>
      <c r="AD77" s="1">
        <v>645</v>
      </c>
      <c r="AE77" s="1">
        <v>1828467.6522390789</v>
      </c>
      <c r="AF77" s="1">
        <v>84</v>
      </c>
      <c r="AG77" s="1">
        <v>21523.176105679471</v>
      </c>
      <c r="AH77" s="1">
        <v>6312.1154735712134</v>
      </c>
      <c r="AI77" s="1">
        <v>13</v>
      </c>
      <c r="AJ77" s="1">
        <v>118</v>
      </c>
      <c r="AK77" s="1">
        <v>524</v>
      </c>
      <c r="AL77" s="1">
        <v>121</v>
      </c>
    </row>
    <row r="78" spans="1:38" x14ac:dyDescent="0.35">
      <c r="A78">
        <v>47</v>
      </c>
      <c r="B78" t="s">
        <v>206</v>
      </c>
      <c r="C78" t="s">
        <v>35</v>
      </c>
      <c r="D78">
        <v>0</v>
      </c>
      <c r="E78">
        <v>0</v>
      </c>
      <c r="F78" t="s">
        <v>207</v>
      </c>
      <c r="G78" t="s">
        <v>180</v>
      </c>
      <c r="H78" t="s">
        <v>208</v>
      </c>
      <c r="I78">
        <v>0</v>
      </c>
      <c r="J78">
        <v>0</v>
      </c>
      <c r="K78">
        <v>176</v>
      </c>
      <c r="L78">
        <v>176</v>
      </c>
      <c r="O78">
        <v>0</v>
      </c>
      <c r="P78">
        <v>6688</v>
      </c>
      <c r="Q78">
        <v>48928</v>
      </c>
      <c r="R78" t="s">
        <v>39</v>
      </c>
      <c r="T78" t="s">
        <v>209</v>
      </c>
      <c r="U78" t="s">
        <v>49</v>
      </c>
      <c r="V78" t="s">
        <v>184</v>
      </c>
      <c r="W78" t="s">
        <v>185</v>
      </c>
      <c r="Y78">
        <v>4957.2400712626231</v>
      </c>
      <c r="Z78">
        <v>1318424.1389298339</v>
      </c>
      <c r="AA78">
        <f t="shared" si="2"/>
        <v>510485.8973391247</v>
      </c>
      <c r="AB78">
        <f t="shared" si="3"/>
        <v>7</v>
      </c>
      <c r="AC78" s="6">
        <v>42000</v>
      </c>
      <c r="AD78" s="1">
        <v>411</v>
      </c>
      <c r="AE78" s="1">
        <v>73015.382121336166</v>
      </c>
      <c r="AF78" s="1">
        <v>349</v>
      </c>
      <c r="AG78" s="1">
        <v>437470.51521778852</v>
      </c>
      <c r="AH78" s="1">
        <v>28880.37184427389</v>
      </c>
      <c r="AI78" s="1">
        <v>7</v>
      </c>
      <c r="AJ78" s="1">
        <v>376</v>
      </c>
      <c r="AK78" s="1">
        <v>32</v>
      </c>
      <c r="AL78" s="1">
        <v>379</v>
      </c>
    </row>
    <row r="79" spans="1:38" x14ac:dyDescent="0.35">
      <c r="A79">
        <v>48</v>
      </c>
      <c r="B79" t="s">
        <v>210</v>
      </c>
      <c r="C79" t="s">
        <v>35</v>
      </c>
      <c r="D79">
        <v>0</v>
      </c>
      <c r="E79">
        <v>0</v>
      </c>
      <c r="F79" t="s">
        <v>211</v>
      </c>
      <c r="G79" t="s">
        <v>180</v>
      </c>
      <c r="H79" t="s">
        <v>208</v>
      </c>
      <c r="I79">
        <v>0</v>
      </c>
      <c r="J79">
        <v>0</v>
      </c>
      <c r="K79">
        <v>209</v>
      </c>
      <c r="L79">
        <v>209</v>
      </c>
      <c r="O79">
        <v>0</v>
      </c>
      <c r="P79">
        <v>7942</v>
      </c>
      <c r="Q79">
        <v>58102</v>
      </c>
      <c r="R79" t="s">
        <v>39</v>
      </c>
      <c r="T79" t="s">
        <v>209</v>
      </c>
      <c r="U79" t="s">
        <v>49</v>
      </c>
      <c r="V79" t="s">
        <v>184</v>
      </c>
      <c r="W79" t="s">
        <v>185</v>
      </c>
      <c r="Y79">
        <v>3187.8025910769461</v>
      </c>
      <c r="Z79">
        <v>707217.6257791419</v>
      </c>
      <c r="AA79">
        <f t="shared" si="2"/>
        <v>441258.87351908349</v>
      </c>
      <c r="AB79">
        <f t="shared" si="3"/>
        <v>4</v>
      </c>
      <c r="AC79" s="6">
        <v>39553.142032420015</v>
      </c>
      <c r="AD79" s="1">
        <v>262</v>
      </c>
      <c r="AE79" s="1">
        <v>133252.3804441845</v>
      </c>
      <c r="AF79" s="1">
        <v>220</v>
      </c>
      <c r="AG79" s="1">
        <v>308006.49307489902</v>
      </c>
      <c r="AH79" s="1">
        <v>4572.506398872385</v>
      </c>
      <c r="AI79" s="1">
        <v>4</v>
      </c>
      <c r="AJ79" s="1">
        <v>229</v>
      </c>
      <c r="AK79" s="1">
        <v>77</v>
      </c>
      <c r="AL79" s="1">
        <v>185</v>
      </c>
    </row>
    <row r="80" spans="1:38" x14ac:dyDescent="0.35">
      <c r="A80">
        <v>55</v>
      </c>
      <c r="B80" t="s">
        <v>231</v>
      </c>
      <c r="C80" t="s">
        <v>54</v>
      </c>
      <c r="D80">
        <v>130000</v>
      </c>
      <c r="E80">
        <v>37500000</v>
      </c>
      <c r="F80" t="s">
        <v>232</v>
      </c>
      <c r="G80" t="s">
        <v>233</v>
      </c>
      <c r="H80" t="s">
        <v>234</v>
      </c>
      <c r="I80">
        <v>0</v>
      </c>
      <c r="J80">
        <v>0</v>
      </c>
      <c r="K80">
        <v>0</v>
      </c>
      <c r="L80">
        <v>281</v>
      </c>
      <c r="M80" t="s">
        <v>235</v>
      </c>
      <c r="O80">
        <v>3524</v>
      </c>
      <c r="P80">
        <v>10640</v>
      </c>
      <c r="Q80">
        <v>78118</v>
      </c>
      <c r="R80" t="s">
        <v>57</v>
      </c>
      <c r="S80" t="s">
        <v>39</v>
      </c>
      <c r="T80" t="s">
        <v>236</v>
      </c>
      <c r="U80" t="s">
        <v>49</v>
      </c>
      <c r="V80" t="s">
        <v>184</v>
      </c>
      <c r="W80" t="s">
        <v>237</v>
      </c>
      <c r="Y80">
        <v>7535.9252453876361</v>
      </c>
      <c r="Z80">
        <v>2136105.6768806102</v>
      </c>
      <c r="AA80">
        <f t="shared" si="2"/>
        <v>458205.52295277815</v>
      </c>
      <c r="AB80">
        <f t="shared" si="3"/>
        <v>1</v>
      </c>
      <c r="AC80" s="6">
        <v>4077.8190442533105</v>
      </c>
      <c r="AD80" s="1">
        <v>459</v>
      </c>
      <c r="AE80" s="1">
        <v>457561.19051566737</v>
      </c>
      <c r="AF80" s="1">
        <v>5</v>
      </c>
      <c r="AG80" s="1">
        <v>644.33243711077182</v>
      </c>
      <c r="AH80" s="1">
        <v>1275.393976887668</v>
      </c>
      <c r="AI80" s="1">
        <v>1</v>
      </c>
      <c r="AJ80" s="1">
        <v>7</v>
      </c>
      <c r="AK80" s="1">
        <v>452</v>
      </c>
      <c r="AL80" s="1">
        <v>7</v>
      </c>
    </row>
    <row r="81" spans="1:38" x14ac:dyDescent="0.35">
      <c r="A81">
        <v>56</v>
      </c>
      <c r="B81" t="s">
        <v>238</v>
      </c>
      <c r="C81" t="s">
        <v>35</v>
      </c>
      <c r="D81">
        <v>410000</v>
      </c>
      <c r="E81">
        <v>41300000</v>
      </c>
      <c r="F81" t="s">
        <v>239</v>
      </c>
      <c r="G81" t="s">
        <v>233</v>
      </c>
      <c r="H81" t="s">
        <v>240</v>
      </c>
      <c r="I81">
        <v>0</v>
      </c>
      <c r="J81">
        <v>0</v>
      </c>
      <c r="K81">
        <v>0</v>
      </c>
      <c r="L81">
        <v>100</v>
      </c>
      <c r="M81" t="s">
        <v>241</v>
      </c>
      <c r="O81">
        <v>10907</v>
      </c>
      <c r="P81">
        <v>3786</v>
      </c>
      <c r="Q81">
        <v>27800</v>
      </c>
      <c r="R81" t="s">
        <v>57</v>
      </c>
      <c r="S81" t="s">
        <v>39</v>
      </c>
      <c r="T81" t="s">
        <v>242</v>
      </c>
      <c r="U81" t="s">
        <v>49</v>
      </c>
      <c r="V81" t="s">
        <v>184</v>
      </c>
      <c r="W81" t="s">
        <v>237</v>
      </c>
      <c r="Y81">
        <v>2078.9963486953129</v>
      </c>
      <c r="Z81">
        <v>226111.8958267525</v>
      </c>
      <c r="AA81">
        <f t="shared" si="2"/>
        <v>48304.207432278177</v>
      </c>
      <c r="AB81">
        <f t="shared" si="3"/>
        <v>3</v>
      </c>
      <c r="AC81" s="6">
        <v>11000</v>
      </c>
      <c r="AD81" s="1">
        <v>135</v>
      </c>
      <c r="AE81" s="1">
        <v>15819.81097385847</v>
      </c>
      <c r="AF81" s="1">
        <v>72</v>
      </c>
      <c r="AG81" s="1">
        <v>32484.396458419709</v>
      </c>
      <c r="AH81" s="1">
        <v>1780.750035618674</v>
      </c>
      <c r="AI81" s="1">
        <v>3</v>
      </c>
      <c r="AJ81" s="1">
        <v>83</v>
      </c>
      <c r="AK81" s="1">
        <v>54</v>
      </c>
      <c r="AL81" s="1">
        <v>81</v>
      </c>
    </row>
    <row r="82" spans="1:38" x14ac:dyDescent="0.35">
      <c r="A82">
        <v>57</v>
      </c>
      <c r="B82" t="s">
        <v>243</v>
      </c>
      <c r="C82" t="s">
        <v>89</v>
      </c>
      <c r="D82">
        <v>80000</v>
      </c>
      <c r="E82">
        <v>14900000</v>
      </c>
      <c r="F82" t="s">
        <v>244</v>
      </c>
      <c r="G82" t="s">
        <v>245</v>
      </c>
      <c r="H82" t="s">
        <v>246</v>
      </c>
      <c r="I82">
        <v>181</v>
      </c>
      <c r="J82">
        <v>0</v>
      </c>
      <c r="K82">
        <v>0</v>
      </c>
      <c r="L82">
        <v>181</v>
      </c>
      <c r="M82" t="s">
        <v>247</v>
      </c>
      <c r="O82">
        <v>2174</v>
      </c>
      <c r="P82">
        <v>6854</v>
      </c>
      <c r="Q82">
        <v>50318</v>
      </c>
      <c r="R82" t="s">
        <v>57</v>
      </c>
      <c r="S82" t="s">
        <v>58</v>
      </c>
      <c r="T82" t="s">
        <v>248</v>
      </c>
      <c r="U82" t="s">
        <v>41</v>
      </c>
      <c r="V82" t="s">
        <v>249</v>
      </c>
      <c r="Y82">
        <v>2903.1807960220708</v>
      </c>
      <c r="Z82">
        <v>387235.91210154881</v>
      </c>
      <c r="AA82">
        <f t="shared" si="2"/>
        <v>173362.99528838621</v>
      </c>
      <c r="AB82">
        <f t="shared" si="3"/>
        <v>0</v>
      </c>
      <c r="AC82" s="6">
        <v>34.689159879583841</v>
      </c>
      <c r="AD82" s="1">
        <v>264</v>
      </c>
      <c r="AE82" s="1">
        <v>173362.99528838621</v>
      </c>
      <c r="AK82" s="1">
        <v>264</v>
      </c>
      <c r="AL82" s="1"/>
    </row>
    <row r="83" spans="1:38" x14ac:dyDescent="0.35">
      <c r="A83">
        <v>102</v>
      </c>
      <c r="B83" t="s">
        <v>414</v>
      </c>
      <c r="C83" t="s">
        <v>54</v>
      </c>
      <c r="D83">
        <v>150000</v>
      </c>
      <c r="E83">
        <v>27700000</v>
      </c>
      <c r="F83" t="s">
        <v>415</v>
      </c>
      <c r="G83" t="s">
        <v>245</v>
      </c>
      <c r="H83" t="s">
        <v>293</v>
      </c>
      <c r="I83">
        <v>86</v>
      </c>
      <c r="J83">
        <v>102</v>
      </c>
      <c r="K83">
        <v>0</v>
      </c>
      <c r="L83">
        <v>188</v>
      </c>
      <c r="M83" t="s">
        <v>288</v>
      </c>
      <c r="O83">
        <v>3891</v>
      </c>
      <c r="P83">
        <v>7119</v>
      </c>
      <c r="Q83">
        <v>52264</v>
      </c>
      <c r="R83" t="s">
        <v>57</v>
      </c>
      <c r="S83" t="s">
        <v>39</v>
      </c>
      <c r="T83" t="s">
        <v>416</v>
      </c>
      <c r="U83" t="s">
        <v>41</v>
      </c>
      <c r="V83" t="s">
        <v>290</v>
      </c>
      <c r="Y83">
        <v>1593.2295645012821</v>
      </c>
      <c r="Z83">
        <v>141733.98902518509</v>
      </c>
      <c r="AA83">
        <f t="shared" si="2"/>
        <v>9103.1452002416208</v>
      </c>
      <c r="AB83">
        <f t="shared" si="3"/>
        <v>1</v>
      </c>
      <c r="AC83" s="6">
        <v>88.839741739213977</v>
      </c>
      <c r="AD83" s="1">
        <v>99</v>
      </c>
      <c r="AE83" s="1">
        <v>288.82884521656638</v>
      </c>
      <c r="AF83" s="1">
        <v>43</v>
      </c>
      <c r="AG83" s="1">
        <v>8814.3163550250538</v>
      </c>
      <c r="AH83" s="1">
        <v>832.08734937142822</v>
      </c>
      <c r="AI83" s="1">
        <v>1</v>
      </c>
      <c r="AJ83" s="1">
        <v>32</v>
      </c>
      <c r="AK83" s="1">
        <v>43</v>
      </c>
      <c r="AL83" s="1">
        <v>56</v>
      </c>
    </row>
    <row r="84" spans="1:38" x14ac:dyDescent="0.35">
      <c r="A84">
        <v>71</v>
      </c>
      <c r="B84" t="s">
        <v>294</v>
      </c>
      <c r="C84" t="s">
        <v>295</v>
      </c>
      <c r="D84">
        <v>50000</v>
      </c>
      <c r="E84">
        <v>46600000</v>
      </c>
      <c r="F84" t="s">
        <v>296</v>
      </c>
      <c r="G84" t="s">
        <v>245</v>
      </c>
      <c r="H84" t="s">
        <v>297</v>
      </c>
      <c r="I84">
        <v>886</v>
      </c>
      <c r="J84">
        <v>0</v>
      </c>
      <c r="K84">
        <v>0</v>
      </c>
      <c r="L84">
        <v>889</v>
      </c>
      <c r="M84" t="s">
        <v>298</v>
      </c>
      <c r="O84">
        <v>1384</v>
      </c>
      <c r="P84">
        <v>33662</v>
      </c>
      <c r="Q84">
        <v>247142</v>
      </c>
      <c r="R84" t="s">
        <v>57</v>
      </c>
      <c r="S84" t="s">
        <v>58</v>
      </c>
      <c r="T84" t="s">
        <v>299</v>
      </c>
      <c r="U84" t="s">
        <v>60</v>
      </c>
      <c r="V84" t="s">
        <v>249</v>
      </c>
      <c r="Y84">
        <v>4534.0502296803379</v>
      </c>
      <c r="Z84">
        <v>1057358.504118542</v>
      </c>
      <c r="AA84">
        <f t="shared" si="2"/>
        <v>1096449.4788474862</v>
      </c>
      <c r="AB84">
        <f t="shared" si="3"/>
        <v>3</v>
      </c>
      <c r="AC84" s="6">
        <v>7.4222296564017869</v>
      </c>
      <c r="AD84" s="1">
        <v>993</v>
      </c>
      <c r="AE84" s="1">
        <v>1095801.9236050041</v>
      </c>
      <c r="AF84" s="1">
        <v>11</v>
      </c>
      <c r="AG84" s="1">
        <v>647.55524248210736</v>
      </c>
      <c r="AH84" s="1">
        <v>526.71201651290937</v>
      </c>
      <c r="AI84" s="1">
        <v>3</v>
      </c>
      <c r="AJ84" s="1">
        <v>21</v>
      </c>
      <c r="AK84" s="1">
        <v>972</v>
      </c>
      <c r="AL84" s="1">
        <v>21</v>
      </c>
    </row>
    <row r="85" spans="1:38" x14ac:dyDescent="0.35">
      <c r="A85">
        <v>72</v>
      </c>
      <c r="B85" t="s">
        <v>300</v>
      </c>
      <c r="C85" t="s">
        <v>35</v>
      </c>
      <c r="D85">
        <v>840000</v>
      </c>
      <c r="E85">
        <v>48600000</v>
      </c>
      <c r="F85" t="s">
        <v>301</v>
      </c>
      <c r="G85" t="s">
        <v>245</v>
      </c>
      <c r="H85" t="s">
        <v>302</v>
      </c>
      <c r="I85">
        <v>0</v>
      </c>
      <c r="J85">
        <v>0</v>
      </c>
      <c r="K85">
        <v>58</v>
      </c>
      <c r="L85">
        <v>58</v>
      </c>
      <c r="M85" t="s">
        <v>303</v>
      </c>
      <c r="O85">
        <v>22130</v>
      </c>
      <c r="P85">
        <v>2196</v>
      </c>
      <c r="Q85">
        <v>16124</v>
      </c>
      <c r="R85" t="s">
        <v>57</v>
      </c>
      <c r="S85" t="s">
        <v>58</v>
      </c>
      <c r="T85" t="s">
        <v>304</v>
      </c>
      <c r="U85" t="s">
        <v>41</v>
      </c>
      <c r="V85" t="s">
        <v>305</v>
      </c>
      <c r="Y85">
        <v>1050.25247354763</v>
      </c>
      <c r="Z85">
        <v>67848.861449477001</v>
      </c>
      <c r="AA85">
        <f t="shared" si="2"/>
        <v>59533.580417811543</v>
      </c>
      <c r="AB85">
        <f t="shared" si="3"/>
        <v>1</v>
      </c>
      <c r="AC85" s="6">
        <v>43.079892340498539</v>
      </c>
      <c r="AD85" s="1">
        <v>88</v>
      </c>
      <c r="AE85" s="1">
        <v>59329.834867356942</v>
      </c>
      <c r="AF85" s="1">
        <v>5</v>
      </c>
      <c r="AG85" s="1">
        <v>203.7455504546034</v>
      </c>
      <c r="AH85" s="1">
        <v>44.95777212239927</v>
      </c>
      <c r="AI85" s="1">
        <v>1</v>
      </c>
      <c r="AJ85" s="1">
        <v>10</v>
      </c>
      <c r="AK85" s="1">
        <v>82</v>
      </c>
      <c r="AL85" s="1">
        <v>6</v>
      </c>
    </row>
    <row r="86" spans="1:38" x14ac:dyDescent="0.35">
      <c r="A86">
        <v>73</v>
      </c>
      <c r="B86" t="s">
        <v>306</v>
      </c>
      <c r="C86" t="s">
        <v>35</v>
      </c>
      <c r="D86">
        <v>2040000</v>
      </c>
      <c r="E86">
        <v>51100000</v>
      </c>
      <c r="F86" t="s">
        <v>307</v>
      </c>
      <c r="G86" t="s">
        <v>245</v>
      </c>
      <c r="H86" t="s">
        <v>308</v>
      </c>
      <c r="I86">
        <v>25</v>
      </c>
      <c r="J86">
        <v>0</v>
      </c>
      <c r="K86">
        <v>0</v>
      </c>
      <c r="L86">
        <v>25</v>
      </c>
      <c r="M86" t="s">
        <v>303</v>
      </c>
      <c r="O86">
        <v>53982</v>
      </c>
      <c r="P86">
        <v>947</v>
      </c>
      <c r="Q86">
        <v>6950</v>
      </c>
      <c r="R86" t="s">
        <v>57</v>
      </c>
      <c r="S86" t="s">
        <v>58</v>
      </c>
      <c r="T86" t="s">
        <v>309</v>
      </c>
      <c r="U86" t="s">
        <v>41</v>
      </c>
      <c r="V86" t="s">
        <v>249</v>
      </c>
      <c r="Y86">
        <v>1739.3663426532639</v>
      </c>
      <c r="Z86">
        <v>133430.19425118211</v>
      </c>
      <c r="AA86">
        <f t="shared" si="2"/>
        <v>39213.509958595903</v>
      </c>
      <c r="AB86">
        <f t="shared" si="3"/>
        <v>0</v>
      </c>
      <c r="AC86" s="6">
        <v>1.4761958200141654</v>
      </c>
      <c r="AD86" s="1">
        <v>53</v>
      </c>
      <c r="AE86" s="1">
        <v>38528.679990680474</v>
      </c>
      <c r="AF86" s="1">
        <v>4</v>
      </c>
      <c r="AG86" s="1">
        <v>684.8299679154286</v>
      </c>
      <c r="AH86" s="1">
        <v>361.5426474157785</v>
      </c>
      <c r="AK86" s="1">
        <v>49</v>
      </c>
      <c r="AL86" s="1">
        <v>4</v>
      </c>
    </row>
    <row r="87" spans="1:38" x14ac:dyDescent="0.35">
      <c r="A87">
        <v>74</v>
      </c>
      <c r="B87" t="s">
        <v>310</v>
      </c>
      <c r="C87" t="s">
        <v>35</v>
      </c>
      <c r="D87">
        <v>450000</v>
      </c>
      <c r="E87">
        <v>62000000</v>
      </c>
      <c r="F87" t="s">
        <v>307</v>
      </c>
      <c r="G87" t="s">
        <v>245</v>
      </c>
      <c r="H87" t="s">
        <v>311</v>
      </c>
      <c r="I87">
        <v>0</v>
      </c>
      <c r="J87">
        <v>139</v>
      </c>
      <c r="K87">
        <v>0</v>
      </c>
      <c r="L87">
        <v>139</v>
      </c>
      <c r="M87" t="s">
        <v>303</v>
      </c>
      <c r="O87">
        <v>11780</v>
      </c>
      <c r="P87">
        <v>5263</v>
      </c>
      <c r="Q87">
        <v>38642</v>
      </c>
      <c r="R87" t="s">
        <v>57</v>
      </c>
      <c r="S87" t="s">
        <v>58</v>
      </c>
      <c r="T87" t="s">
        <v>309</v>
      </c>
      <c r="U87" t="s">
        <v>41</v>
      </c>
      <c r="V87" t="s">
        <v>249</v>
      </c>
      <c r="Y87">
        <v>3231.253754866123</v>
      </c>
      <c r="Z87">
        <v>469368.82195567491</v>
      </c>
      <c r="AA87">
        <f t="shared" si="2"/>
        <v>99458.194169880473</v>
      </c>
      <c r="AB87">
        <f t="shared" si="3"/>
        <v>9</v>
      </c>
      <c r="AC87" s="6">
        <v>12.019607570476648</v>
      </c>
      <c r="AD87" s="1">
        <v>265</v>
      </c>
      <c r="AE87" s="1">
        <v>61024.891561189033</v>
      </c>
      <c r="AF87" s="1">
        <v>122</v>
      </c>
      <c r="AG87" s="1">
        <v>38433.302608691432</v>
      </c>
      <c r="AH87" s="1">
        <v>5525.6588017164058</v>
      </c>
      <c r="AI87" s="1">
        <v>9</v>
      </c>
      <c r="AJ87" s="1">
        <v>153</v>
      </c>
      <c r="AK87" s="1">
        <v>94</v>
      </c>
      <c r="AL87" s="1">
        <v>171</v>
      </c>
    </row>
    <row r="88" spans="1:38" x14ac:dyDescent="0.35">
      <c r="A88">
        <v>94</v>
      </c>
      <c r="B88" t="s">
        <v>385</v>
      </c>
      <c r="C88" t="s">
        <v>63</v>
      </c>
      <c r="D88">
        <v>270000</v>
      </c>
      <c r="E88">
        <v>52200000</v>
      </c>
      <c r="F88" t="s">
        <v>386</v>
      </c>
      <c r="G88" t="s">
        <v>245</v>
      </c>
      <c r="H88" t="s">
        <v>387</v>
      </c>
      <c r="I88">
        <v>74</v>
      </c>
      <c r="J88">
        <v>119</v>
      </c>
      <c r="K88">
        <v>0</v>
      </c>
      <c r="L88">
        <v>193</v>
      </c>
      <c r="M88" t="s">
        <v>303</v>
      </c>
      <c r="O88">
        <v>7143</v>
      </c>
      <c r="P88">
        <v>7308</v>
      </c>
      <c r="Q88">
        <v>53654</v>
      </c>
      <c r="R88" t="s">
        <v>57</v>
      </c>
      <c r="S88" t="s">
        <v>58</v>
      </c>
      <c r="T88" t="s">
        <v>388</v>
      </c>
      <c r="U88" t="s">
        <v>49</v>
      </c>
      <c r="V88" t="s">
        <v>305</v>
      </c>
      <c r="Y88">
        <v>3863.0329230109969</v>
      </c>
      <c r="Z88">
        <v>949800.36771320819</v>
      </c>
      <c r="AA88">
        <f t="shared" si="2"/>
        <v>1275815.812629859</v>
      </c>
      <c r="AB88">
        <f t="shared" si="3"/>
        <v>2</v>
      </c>
      <c r="AC88" s="6">
        <v>0</v>
      </c>
      <c r="AD88" s="1">
        <v>470</v>
      </c>
      <c r="AE88" s="1">
        <v>1258311.8128731069</v>
      </c>
      <c r="AF88" s="1">
        <v>37</v>
      </c>
      <c r="AG88" s="1">
        <v>17503.999756752029</v>
      </c>
      <c r="AH88" s="1">
        <v>1019.062522602788</v>
      </c>
      <c r="AI88" s="1">
        <v>2</v>
      </c>
      <c r="AJ88" s="1">
        <v>42</v>
      </c>
      <c r="AK88" s="1">
        <v>433</v>
      </c>
      <c r="AL88" s="1">
        <v>37</v>
      </c>
    </row>
    <row r="89" spans="1:38" x14ac:dyDescent="0.35">
      <c r="A89">
        <v>95</v>
      </c>
      <c r="B89" t="s">
        <v>389</v>
      </c>
      <c r="C89" t="s">
        <v>35</v>
      </c>
      <c r="D89">
        <v>840000</v>
      </c>
      <c r="E89">
        <v>86200000</v>
      </c>
      <c r="F89" t="s">
        <v>390</v>
      </c>
      <c r="G89" t="s">
        <v>245</v>
      </c>
      <c r="H89" t="s">
        <v>390</v>
      </c>
      <c r="I89">
        <v>0</v>
      </c>
      <c r="J89">
        <v>102</v>
      </c>
      <c r="K89">
        <v>0</v>
      </c>
      <c r="L89">
        <v>102</v>
      </c>
      <c r="M89" t="s">
        <v>298</v>
      </c>
      <c r="O89">
        <v>22319</v>
      </c>
      <c r="P89">
        <v>3862</v>
      </c>
      <c r="Q89">
        <v>28356</v>
      </c>
      <c r="R89" t="s">
        <v>57</v>
      </c>
      <c r="S89" t="s">
        <v>58</v>
      </c>
      <c r="T89" t="s">
        <v>391</v>
      </c>
      <c r="U89" t="s">
        <v>41</v>
      </c>
      <c r="V89" t="s">
        <v>249</v>
      </c>
      <c r="Y89">
        <v>1830.094245259744</v>
      </c>
      <c r="Z89">
        <v>187855.4674196915</v>
      </c>
      <c r="AA89">
        <f t="shared" si="2"/>
        <v>61279.618626569616</v>
      </c>
      <c r="AB89">
        <f t="shared" si="3"/>
        <v>4</v>
      </c>
      <c r="AC89" s="6">
        <v>930</v>
      </c>
      <c r="AD89" s="1">
        <v>137</v>
      </c>
      <c r="AE89" s="1">
        <v>19372.820642260409</v>
      </c>
      <c r="AF89" s="1">
        <v>75</v>
      </c>
      <c r="AG89" s="1">
        <v>41906.797984309211</v>
      </c>
      <c r="AH89" s="1">
        <v>2730.1257942321249</v>
      </c>
      <c r="AI89" s="1">
        <v>4</v>
      </c>
      <c r="AJ89" s="1">
        <v>35</v>
      </c>
      <c r="AK89" s="1">
        <v>55</v>
      </c>
      <c r="AL89" s="1">
        <v>82</v>
      </c>
    </row>
    <row r="90" spans="1:38" x14ac:dyDescent="0.35">
      <c r="A90">
        <v>96</v>
      </c>
      <c r="B90" t="s">
        <v>392</v>
      </c>
      <c r="C90" t="s">
        <v>35</v>
      </c>
      <c r="D90">
        <v>1010000</v>
      </c>
      <c r="E90">
        <v>37300000</v>
      </c>
      <c r="F90" t="s">
        <v>393</v>
      </c>
      <c r="G90" t="s">
        <v>245</v>
      </c>
      <c r="I90">
        <v>0</v>
      </c>
      <c r="J90">
        <v>0</v>
      </c>
      <c r="K90">
        <v>20</v>
      </c>
      <c r="L90">
        <v>37</v>
      </c>
      <c r="M90" t="s">
        <v>96</v>
      </c>
      <c r="O90">
        <v>26624</v>
      </c>
      <c r="P90">
        <v>1401</v>
      </c>
      <c r="Q90">
        <v>10286</v>
      </c>
      <c r="R90" t="s">
        <v>57</v>
      </c>
      <c r="S90" t="s">
        <v>58</v>
      </c>
      <c r="T90" t="s">
        <v>394</v>
      </c>
      <c r="U90" t="s">
        <v>41</v>
      </c>
      <c r="V90" t="s">
        <v>249</v>
      </c>
      <c r="Y90">
        <v>1205.0982007447381</v>
      </c>
      <c r="Z90">
        <v>54867.924908870213</v>
      </c>
      <c r="AA90">
        <f t="shared" si="2"/>
        <v>204019.67041070931</v>
      </c>
      <c r="AB90">
        <f t="shared" si="3"/>
        <v>0</v>
      </c>
      <c r="AC90" s="6">
        <v>0</v>
      </c>
      <c r="AD90" s="1">
        <v>44</v>
      </c>
      <c r="AE90" s="1">
        <v>204019.67041070931</v>
      </c>
      <c r="AK90" s="1">
        <v>44</v>
      </c>
      <c r="AL90" s="1"/>
    </row>
    <row r="91" spans="1:38" x14ac:dyDescent="0.35">
      <c r="A91">
        <v>61</v>
      </c>
      <c r="B91" t="s">
        <v>260</v>
      </c>
      <c r="C91" t="s">
        <v>35</v>
      </c>
      <c r="D91">
        <v>0</v>
      </c>
      <c r="E91">
        <v>0</v>
      </c>
      <c r="F91" t="s">
        <v>261</v>
      </c>
      <c r="G91" t="s">
        <v>245</v>
      </c>
      <c r="H91" t="s">
        <v>261</v>
      </c>
      <c r="I91">
        <v>144</v>
      </c>
      <c r="J91">
        <v>0</v>
      </c>
      <c r="K91">
        <v>0</v>
      </c>
      <c r="L91">
        <v>144</v>
      </c>
      <c r="O91">
        <v>0</v>
      </c>
      <c r="P91">
        <v>5472</v>
      </c>
      <c r="Q91">
        <v>40032</v>
      </c>
      <c r="R91" t="s">
        <v>39</v>
      </c>
      <c r="T91" t="s">
        <v>262</v>
      </c>
      <c r="U91" t="s">
        <v>49</v>
      </c>
      <c r="V91" t="s">
        <v>263</v>
      </c>
      <c r="Y91">
        <v>4179.0581202370686</v>
      </c>
      <c r="Z91">
        <v>758476.86665453168</v>
      </c>
      <c r="AA91">
        <f t="shared" si="2"/>
        <v>271430.27183004143</v>
      </c>
      <c r="AB91">
        <f t="shared" si="3"/>
        <v>0</v>
      </c>
      <c r="AC91" s="6">
        <v>41921.965973246522</v>
      </c>
      <c r="AD91" s="1">
        <v>281</v>
      </c>
      <c r="AE91" s="1">
        <v>271430.27183004143</v>
      </c>
      <c r="AK91" s="1">
        <v>281</v>
      </c>
      <c r="AL91" s="1"/>
    </row>
    <row r="92" spans="1:38" x14ac:dyDescent="0.35">
      <c r="A92">
        <v>62</v>
      </c>
      <c r="B92" t="s">
        <v>264</v>
      </c>
      <c r="C92" t="s">
        <v>35</v>
      </c>
      <c r="D92">
        <v>0</v>
      </c>
      <c r="E92">
        <v>0</v>
      </c>
      <c r="F92" t="s">
        <v>265</v>
      </c>
      <c r="G92" t="s">
        <v>245</v>
      </c>
      <c r="H92" t="s">
        <v>265</v>
      </c>
      <c r="I92">
        <v>63</v>
      </c>
      <c r="J92">
        <v>0</v>
      </c>
      <c r="K92">
        <v>0</v>
      </c>
      <c r="L92">
        <v>64</v>
      </c>
      <c r="O92">
        <v>0</v>
      </c>
      <c r="P92">
        <v>2432</v>
      </c>
      <c r="Q92">
        <v>17792</v>
      </c>
      <c r="R92" t="s">
        <v>39</v>
      </c>
      <c r="T92" t="s">
        <v>262</v>
      </c>
      <c r="U92" t="s">
        <v>49</v>
      </c>
      <c r="V92" t="s">
        <v>263</v>
      </c>
      <c r="Y92">
        <v>2226.8088801110912</v>
      </c>
      <c r="Z92">
        <v>190402.936359941</v>
      </c>
      <c r="AA92">
        <f t="shared" si="2"/>
        <v>140161.35545861581</v>
      </c>
      <c r="AB92">
        <f t="shared" si="3"/>
        <v>0</v>
      </c>
      <c r="AC92" s="6">
        <v>16309.589111740221</v>
      </c>
      <c r="AD92" s="1">
        <v>96</v>
      </c>
      <c r="AE92" s="1">
        <v>140161.35545861581</v>
      </c>
      <c r="AK92" s="1">
        <v>96</v>
      </c>
      <c r="AL92" s="1"/>
    </row>
    <row r="93" spans="1:38" x14ac:dyDescent="0.35">
      <c r="A93">
        <v>58</v>
      </c>
      <c r="B93" t="s">
        <v>250</v>
      </c>
      <c r="C93" t="s">
        <v>54</v>
      </c>
      <c r="D93">
        <v>120000</v>
      </c>
      <c r="E93">
        <v>15600000</v>
      </c>
      <c r="F93" t="s">
        <v>96</v>
      </c>
      <c r="G93" t="s">
        <v>245</v>
      </c>
      <c r="H93" t="s">
        <v>251</v>
      </c>
      <c r="I93">
        <v>127</v>
      </c>
      <c r="J93">
        <v>0</v>
      </c>
      <c r="K93">
        <v>0</v>
      </c>
      <c r="L93">
        <v>127</v>
      </c>
      <c r="M93" t="s">
        <v>96</v>
      </c>
      <c r="O93">
        <v>3244</v>
      </c>
      <c r="P93">
        <v>4809</v>
      </c>
      <c r="Q93">
        <v>35306</v>
      </c>
      <c r="R93" t="s">
        <v>57</v>
      </c>
      <c r="S93" t="s">
        <v>58</v>
      </c>
      <c r="T93" t="s">
        <v>252</v>
      </c>
      <c r="U93" t="s">
        <v>41</v>
      </c>
      <c r="V93" t="s">
        <v>249</v>
      </c>
      <c r="Y93">
        <v>2848.8440224157571</v>
      </c>
      <c r="Z93">
        <v>424916.07166352757</v>
      </c>
      <c r="AA93">
        <f t="shared" si="2"/>
        <v>434421.71624300361</v>
      </c>
      <c r="AB93">
        <f t="shared" si="3"/>
        <v>0</v>
      </c>
      <c r="AC93" s="6">
        <v>750.04503262770004</v>
      </c>
      <c r="AD93" s="1">
        <v>193</v>
      </c>
      <c r="AE93" s="1">
        <v>434421.71624300361</v>
      </c>
      <c r="AK93" s="1">
        <v>193</v>
      </c>
      <c r="AL93" s="1"/>
    </row>
    <row r="94" spans="1:38" x14ac:dyDescent="0.35">
      <c r="A94">
        <v>64</v>
      </c>
      <c r="B94" t="s">
        <v>270</v>
      </c>
      <c r="C94" t="s">
        <v>35</v>
      </c>
      <c r="D94">
        <v>0</v>
      </c>
      <c r="E94">
        <v>0</v>
      </c>
      <c r="F94" t="s">
        <v>271</v>
      </c>
      <c r="G94" t="s">
        <v>245</v>
      </c>
      <c r="H94" t="s">
        <v>272</v>
      </c>
      <c r="I94">
        <v>425</v>
      </c>
      <c r="J94">
        <v>0</v>
      </c>
      <c r="K94">
        <v>0</v>
      </c>
      <c r="L94">
        <v>425</v>
      </c>
      <c r="O94">
        <v>0</v>
      </c>
      <c r="P94">
        <v>16150</v>
      </c>
      <c r="Q94">
        <v>118150</v>
      </c>
      <c r="R94" t="s">
        <v>39</v>
      </c>
      <c r="T94" t="s">
        <v>262</v>
      </c>
      <c r="U94" t="s">
        <v>49</v>
      </c>
      <c r="V94" t="s">
        <v>273</v>
      </c>
      <c r="Y94">
        <v>11202.483101154479</v>
      </c>
      <c r="Z94">
        <v>3133413.3026170041</v>
      </c>
      <c r="AA94">
        <f t="shared" si="2"/>
        <v>1051845.6445731269</v>
      </c>
      <c r="AB94">
        <f t="shared" si="3"/>
        <v>11</v>
      </c>
      <c r="AC94" s="6">
        <v>31953.747936641033</v>
      </c>
      <c r="AD94" s="1">
        <v>827</v>
      </c>
      <c r="AE94" s="1">
        <v>952671.41827178712</v>
      </c>
      <c r="AF94" s="1">
        <v>181</v>
      </c>
      <c r="AG94" s="1">
        <v>99174.226301339804</v>
      </c>
      <c r="AH94" s="1">
        <v>6767.0943226262652</v>
      </c>
      <c r="AI94" s="1">
        <v>11</v>
      </c>
      <c r="AJ94" s="1">
        <v>190</v>
      </c>
      <c r="AK94" s="1">
        <v>563</v>
      </c>
      <c r="AL94" s="1">
        <v>264</v>
      </c>
    </row>
    <row r="95" spans="1:38" x14ac:dyDescent="0.35">
      <c r="A95">
        <v>65</v>
      </c>
      <c r="B95" t="s">
        <v>274</v>
      </c>
      <c r="C95" t="s">
        <v>35</v>
      </c>
      <c r="D95">
        <v>0</v>
      </c>
      <c r="E95">
        <v>0</v>
      </c>
      <c r="F95" t="s">
        <v>275</v>
      </c>
      <c r="G95" t="s">
        <v>245</v>
      </c>
      <c r="H95" t="s">
        <v>275</v>
      </c>
      <c r="I95">
        <v>70</v>
      </c>
      <c r="J95">
        <v>0</v>
      </c>
      <c r="K95">
        <v>0</v>
      </c>
      <c r="L95">
        <v>70</v>
      </c>
      <c r="O95">
        <v>0</v>
      </c>
      <c r="P95">
        <v>2660</v>
      </c>
      <c r="Q95">
        <v>19460</v>
      </c>
      <c r="R95" t="s">
        <v>39</v>
      </c>
      <c r="T95" t="s">
        <v>262</v>
      </c>
      <c r="U95" t="s">
        <v>49</v>
      </c>
      <c r="V95" t="s">
        <v>273</v>
      </c>
      <c r="Y95">
        <v>1488.298728016458</v>
      </c>
      <c r="Z95">
        <v>99729.49103450129</v>
      </c>
      <c r="AA95">
        <f t="shared" si="2"/>
        <v>82537.141326345693</v>
      </c>
      <c r="AB95">
        <f t="shared" si="3"/>
        <v>1</v>
      </c>
      <c r="AC95" s="6">
        <v>28000</v>
      </c>
      <c r="AD95" s="1">
        <v>108</v>
      </c>
      <c r="AE95" s="1">
        <v>82016.531627953867</v>
      </c>
      <c r="AF95" s="1">
        <v>6</v>
      </c>
      <c r="AG95" s="1">
        <v>520.60969839182746</v>
      </c>
      <c r="AH95" s="1">
        <v>207.42650147892661</v>
      </c>
      <c r="AI95" s="1">
        <v>1</v>
      </c>
      <c r="AJ95" s="1">
        <v>13</v>
      </c>
      <c r="AK95" s="1">
        <v>95</v>
      </c>
      <c r="AL95" s="1">
        <v>13</v>
      </c>
    </row>
    <row r="96" spans="1:38" x14ac:dyDescent="0.35">
      <c r="A96">
        <v>70</v>
      </c>
      <c r="B96" t="s">
        <v>291</v>
      </c>
      <c r="F96" t="s">
        <v>292</v>
      </c>
      <c r="G96" t="s">
        <v>245</v>
      </c>
      <c r="H96" t="s">
        <v>293</v>
      </c>
      <c r="I96">
        <v>0</v>
      </c>
      <c r="J96">
        <v>99</v>
      </c>
      <c r="K96">
        <v>0</v>
      </c>
      <c r="L96">
        <v>99</v>
      </c>
      <c r="M96" t="s">
        <v>288</v>
      </c>
      <c r="R96" t="s">
        <v>57</v>
      </c>
      <c r="U96" t="s">
        <v>49</v>
      </c>
      <c r="Y96">
        <v>3194.6234590459289</v>
      </c>
      <c r="Z96">
        <v>501697.77330477932</v>
      </c>
      <c r="AA96">
        <f t="shared" si="2"/>
        <v>573932.39885138185</v>
      </c>
      <c r="AB96">
        <f t="shared" si="3"/>
        <v>1</v>
      </c>
      <c r="AC96" s="6">
        <v>88.839741739213977</v>
      </c>
      <c r="AD96" s="1">
        <v>235</v>
      </c>
      <c r="AE96" s="1">
        <v>552233.14606660907</v>
      </c>
      <c r="AF96" s="1">
        <v>78</v>
      </c>
      <c r="AG96" s="1">
        <v>21699.25278477282</v>
      </c>
      <c r="AH96" s="1">
        <v>503.96015442365871</v>
      </c>
      <c r="AI96" s="1">
        <v>1</v>
      </c>
      <c r="AJ96" s="1">
        <v>9</v>
      </c>
      <c r="AK96" s="1">
        <v>176</v>
      </c>
      <c r="AL96" s="1">
        <v>59</v>
      </c>
    </row>
    <row r="97" spans="1:38" x14ac:dyDescent="0.35">
      <c r="A97">
        <v>59</v>
      </c>
      <c r="B97" t="s">
        <v>253</v>
      </c>
      <c r="C97" t="s">
        <v>35</v>
      </c>
      <c r="D97">
        <v>510000</v>
      </c>
      <c r="E97">
        <v>61300000</v>
      </c>
      <c r="F97" t="s">
        <v>254</v>
      </c>
      <c r="G97" t="s">
        <v>245</v>
      </c>
      <c r="H97" t="s">
        <v>255</v>
      </c>
      <c r="I97">
        <v>0</v>
      </c>
      <c r="J97">
        <v>101</v>
      </c>
      <c r="K97">
        <v>31</v>
      </c>
      <c r="L97">
        <v>120</v>
      </c>
      <c r="M97" t="s">
        <v>96</v>
      </c>
      <c r="O97">
        <v>13491</v>
      </c>
      <c r="P97">
        <v>4544</v>
      </c>
      <c r="Q97">
        <v>33360</v>
      </c>
      <c r="R97" t="s">
        <v>57</v>
      </c>
      <c r="S97" t="s">
        <v>58</v>
      </c>
      <c r="T97" t="s">
        <v>256</v>
      </c>
      <c r="U97" t="s">
        <v>41</v>
      </c>
      <c r="V97" t="s">
        <v>249</v>
      </c>
      <c r="Y97">
        <v>7724.0867309594478</v>
      </c>
      <c r="Z97">
        <v>1783258.3117022321</v>
      </c>
      <c r="AA97">
        <f t="shared" si="2"/>
        <v>488238.66716856876</v>
      </c>
      <c r="AB97">
        <f t="shared" si="3"/>
        <v>3</v>
      </c>
      <c r="AC97" s="6">
        <v>119.64916285311681</v>
      </c>
      <c r="AD97" s="1">
        <v>205</v>
      </c>
      <c r="AE97" s="1">
        <v>425336.99945501168</v>
      </c>
      <c r="AF97" s="1">
        <v>83</v>
      </c>
      <c r="AG97" s="1">
        <v>62901.667713557094</v>
      </c>
      <c r="AH97" s="1">
        <v>3494.2801175427981</v>
      </c>
      <c r="AI97" s="1">
        <v>3</v>
      </c>
      <c r="AJ97" s="1">
        <v>92</v>
      </c>
      <c r="AK97" s="1">
        <v>113</v>
      </c>
      <c r="AL97" s="1">
        <v>92</v>
      </c>
    </row>
    <row r="98" spans="1:38" x14ac:dyDescent="0.35">
      <c r="A98">
        <v>60</v>
      </c>
      <c r="B98" t="s">
        <v>257</v>
      </c>
      <c r="C98" t="s">
        <v>63</v>
      </c>
      <c r="D98">
        <v>220000</v>
      </c>
      <c r="E98">
        <v>74300000</v>
      </c>
      <c r="F98" t="s">
        <v>258</v>
      </c>
      <c r="G98" t="s">
        <v>245</v>
      </c>
      <c r="H98" t="s">
        <v>255</v>
      </c>
      <c r="I98">
        <v>0</v>
      </c>
      <c r="J98">
        <v>224</v>
      </c>
      <c r="K98">
        <v>0</v>
      </c>
      <c r="L98">
        <v>345</v>
      </c>
      <c r="M98" t="s">
        <v>96</v>
      </c>
      <c r="O98">
        <v>5688</v>
      </c>
      <c r="P98">
        <v>13063</v>
      </c>
      <c r="Q98">
        <v>95910</v>
      </c>
      <c r="R98" t="s">
        <v>57</v>
      </c>
      <c r="S98" t="s">
        <v>58</v>
      </c>
      <c r="T98" t="s">
        <v>259</v>
      </c>
      <c r="U98" t="s">
        <v>41</v>
      </c>
      <c r="V98" t="s">
        <v>249</v>
      </c>
      <c r="Y98">
        <v>12760.75239408543</v>
      </c>
      <c r="Z98">
        <v>1836913.884130805</v>
      </c>
      <c r="AA98">
        <f t="shared" si="2"/>
        <v>830281.56796535768</v>
      </c>
      <c r="AB98">
        <f t="shared" si="3"/>
        <v>7</v>
      </c>
      <c r="AC98" s="6">
        <v>731.39459258597651</v>
      </c>
      <c r="AD98" s="1">
        <v>467</v>
      </c>
      <c r="AE98" s="1">
        <v>132621.2036143766</v>
      </c>
      <c r="AF98" s="1">
        <v>453</v>
      </c>
      <c r="AG98" s="1">
        <v>697660.36435098108</v>
      </c>
      <c r="AH98" s="1">
        <v>30324.80727123814</v>
      </c>
      <c r="AI98" s="1">
        <v>7</v>
      </c>
      <c r="AJ98" s="1">
        <v>455</v>
      </c>
      <c r="AK98" s="1">
        <v>71</v>
      </c>
      <c r="AL98" s="1">
        <v>396</v>
      </c>
    </row>
    <row r="99" spans="1:38" x14ac:dyDescent="0.35">
      <c r="A99">
        <v>63</v>
      </c>
      <c r="B99" t="s">
        <v>266</v>
      </c>
      <c r="C99" t="s">
        <v>54</v>
      </c>
      <c r="D99">
        <v>130000</v>
      </c>
      <c r="E99">
        <v>46500000</v>
      </c>
      <c r="F99" t="s">
        <v>267</v>
      </c>
      <c r="G99" t="s">
        <v>245</v>
      </c>
      <c r="H99" t="s">
        <v>268</v>
      </c>
      <c r="I99">
        <v>360</v>
      </c>
      <c r="J99">
        <v>0</v>
      </c>
      <c r="K99">
        <v>0</v>
      </c>
      <c r="L99">
        <v>363</v>
      </c>
      <c r="M99" t="s">
        <v>269</v>
      </c>
      <c r="O99">
        <v>3383</v>
      </c>
      <c r="P99">
        <v>13745</v>
      </c>
      <c r="Q99">
        <v>100914</v>
      </c>
      <c r="R99" t="s">
        <v>39</v>
      </c>
      <c r="S99" t="s">
        <v>39</v>
      </c>
      <c r="T99" t="s">
        <v>262</v>
      </c>
      <c r="U99" t="s">
        <v>49</v>
      </c>
      <c r="V99" t="s">
        <v>263</v>
      </c>
      <c r="Y99">
        <v>5658.47571296973</v>
      </c>
      <c r="Z99">
        <v>1450239.0269198311</v>
      </c>
      <c r="AA99">
        <f t="shared" si="2"/>
        <v>755119.8199893235</v>
      </c>
      <c r="AB99">
        <f t="shared" si="3"/>
        <v>3</v>
      </c>
      <c r="AC99" s="6">
        <v>9360.7892676668398</v>
      </c>
      <c r="AD99" s="1">
        <v>677</v>
      </c>
      <c r="AE99" s="1">
        <v>740923.95540282619</v>
      </c>
      <c r="AF99" s="1">
        <v>72</v>
      </c>
      <c r="AG99" s="1">
        <v>14195.86458649733</v>
      </c>
      <c r="AH99" s="1">
        <v>2252.231464476466</v>
      </c>
      <c r="AI99" s="1">
        <v>3</v>
      </c>
      <c r="AJ99" s="1">
        <v>56</v>
      </c>
      <c r="AK99" s="1">
        <v>596</v>
      </c>
      <c r="AL99" s="1">
        <v>81</v>
      </c>
    </row>
    <row r="100" spans="1:38" x14ac:dyDescent="0.35">
      <c r="A100">
        <v>66</v>
      </c>
      <c r="B100" t="s">
        <v>276</v>
      </c>
      <c r="C100" t="s">
        <v>54</v>
      </c>
      <c r="D100">
        <v>110000</v>
      </c>
      <c r="E100">
        <v>20000000</v>
      </c>
      <c r="F100" t="s">
        <v>277</v>
      </c>
      <c r="G100" t="s">
        <v>245</v>
      </c>
      <c r="H100" t="s">
        <v>278</v>
      </c>
      <c r="I100">
        <v>181</v>
      </c>
      <c r="J100">
        <v>0</v>
      </c>
      <c r="K100">
        <v>0</v>
      </c>
      <c r="L100">
        <v>181</v>
      </c>
      <c r="M100" t="s">
        <v>279</v>
      </c>
      <c r="O100">
        <v>2918</v>
      </c>
      <c r="P100">
        <v>6854</v>
      </c>
      <c r="Q100">
        <v>50318</v>
      </c>
      <c r="R100" t="s">
        <v>57</v>
      </c>
      <c r="S100" t="s">
        <v>39</v>
      </c>
      <c r="T100" t="s">
        <v>280</v>
      </c>
      <c r="U100" t="s">
        <v>41</v>
      </c>
      <c r="V100" t="s">
        <v>273</v>
      </c>
      <c r="Y100">
        <v>3770.4295665153468</v>
      </c>
      <c r="Z100">
        <v>746446.32281402533</v>
      </c>
      <c r="AA100">
        <f t="shared" si="2"/>
        <v>289594.48128433828</v>
      </c>
      <c r="AB100">
        <f t="shared" si="3"/>
        <v>1</v>
      </c>
      <c r="AC100" s="6">
        <v>6006.8109238682873</v>
      </c>
      <c r="AD100" s="1">
        <v>334</v>
      </c>
      <c r="AE100" s="1">
        <v>289101.3231204343</v>
      </c>
      <c r="AF100" s="1">
        <v>3</v>
      </c>
      <c r="AG100" s="1">
        <v>493.15816390400028</v>
      </c>
      <c r="AH100" s="1">
        <v>265.56176127334112</v>
      </c>
      <c r="AI100" s="1">
        <v>1</v>
      </c>
      <c r="AJ100" s="1">
        <v>6</v>
      </c>
      <c r="AK100" s="1">
        <v>328</v>
      </c>
      <c r="AL100" s="1">
        <v>6</v>
      </c>
    </row>
    <row r="101" spans="1:38" x14ac:dyDescent="0.35">
      <c r="A101">
        <v>67</v>
      </c>
      <c r="B101" t="s">
        <v>281</v>
      </c>
      <c r="C101" t="s">
        <v>54</v>
      </c>
      <c r="D101">
        <v>120000</v>
      </c>
      <c r="E101">
        <v>39300000</v>
      </c>
      <c r="F101" t="s">
        <v>282</v>
      </c>
      <c r="G101" t="s">
        <v>245</v>
      </c>
      <c r="H101" t="s">
        <v>283</v>
      </c>
      <c r="I101">
        <v>335</v>
      </c>
      <c r="J101">
        <v>0</v>
      </c>
      <c r="K101">
        <v>0</v>
      </c>
      <c r="L101">
        <v>335</v>
      </c>
      <c r="M101" t="s">
        <v>279</v>
      </c>
      <c r="O101">
        <v>3098</v>
      </c>
      <c r="P101">
        <v>12685</v>
      </c>
      <c r="Q101">
        <v>93130</v>
      </c>
      <c r="R101" t="s">
        <v>57</v>
      </c>
      <c r="S101" t="s">
        <v>39</v>
      </c>
      <c r="T101" t="s">
        <v>280</v>
      </c>
      <c r="U101" t="s">
        <v>41</v>
      </c>
      <c r="V101" t="s">
        <v>273</v>
      </c>
      <c r="Y101">
        <v>4795.1680967416414</v>
      </c>
      <c r="Z101">
        <v>1510313.148470202</v>
      </c>
      <c r="AA101">
        <f t="shared" si="2"/>
        <v>517138.7200739102</v>
      </c>
      <c r="AB101">
        <f t="shared" si="3"/>
        <v>4</v>
      </c>
      <c r="AC101" s="6">
        <v>7670.6288308118319</v>
      </c>
      <c r="AD101" s="1">
        <v>480</v>
      </c>
      <c r="AE101" s="1">
        <v>378530.67493417568</v>
      </c>
      <c r="AF101" s="1">
        <v>166</v>
      </c>
      <c r="AG101" s="1">
        <v>138608.04513973449</v>
      </c>
      <c r="AH101" s="1">
        <v>2179.6750418203928</v>
      </c>
      <c r="AI101" s="1">
        <v>4</v>
      </c>
      <c r="AJ101" s="1">
        <v>173</v>
      </c>
      <c r="AK101" s="1">
        <v>310</v>
      </c>
      <c r="AL101" s="1">
        <v>170</v>
      </c>
    </row>
    <row r="102" spans="1:38" x14ac:dyDescent="0.35">
      <c r="A102">
        <v>68</v>
      </c>
      <c r="B102" t="s">
        <v>284</v>
      </c>
      <c r="C102" t="s">
        <v>89</v>
      </c>
      <c r="D102">
        <v>90000</v>
      </c>
      <c r="E102">
        <v>34200000</v>
      </c>
      <c r="F102" t="s">
        <v>285</v>
      </c>
      <c r="G102" t="s">
        <v>245</v>
      </c>
      <c r="H102" t="s">
        <v>285</v>
      </c>
      <c r="I102">
        <v>396</v>
      </c>
      <c r="J102">
        <v>0</v>
      </c>
      <c r="K102">
        <v>0</v>
      </c>
      <c r="L102">
        <v>396</v>
      </c>
      <c r="M102" t="s">
        <v>279</v>
      </c>
      <c r="O102">
        <v>2281</v>
      </c>
      <c r="P102">
        <v>14994</v>
      </c>
      <c r="Q102">
        <v>110088</v>
      </c>
      <c r="R102" t="s">
        <v>57</v>
      </c>
      <c r="S102" t="s">
        <v>39</v>
      </c>
      <c r="T102" t="s">
        <v>280</v>
      </c>
      <c r="U102" t="s">
        <v>41</v>
      </c>
      <c r="V102" t="s">
        <v>273</v>
      </c>
      <c r="Y102">
        <v>5469.2973365795888</v>
      </c>
      <c r="Z102">
        <v>1206445.5385418611</v>
      </c>
      <c r="AA102">
        <f t="shared" si="2"/>
        <v>507078.99410204223</v>
      </c>
      <c r="AB102">
        <f t="shared" si="3"/>
        <v>0</v>
      </c>
      <c r="AC102" s="6">
        <v>6012.1466302194203</v>
      </c>
      <c r="AD102" s="1">
        <v>585</v>
      </c>
      <c r="AE102" s="1">
        <v>507078.99410204223</v>
      </c>
      <c r="AK102" s="1">
        <v>585</v>
      </c>
      <c r="AL102" s="1"/>
    </row>
    <row r="103" spans="1:38" x14ac:dyDescent="0.35">
      <c r="A103">
        <v>69</v>
      </c>
      <c r="B103" t="s">
        <v>286</v>
      </c>
      <c r="C103" t="s">
        <v>35</v>
      </c>
      <c r="D103">
        <v>550000</v>
      </c>
      <c r="E103">
        <v>42300000</v>
      </c>
      <c r="F103" t="s">
        <v>287</v>
      </c>
      <c r="G103" t="s">
        <v>245</v>
      </c>
      <c r="H103" t="s">
        <v>287</v>
      </c>
      <c r="I103">
        <v>77</v>
      </c>
      <c r="J103">
        <v>0</v>
      </c>
      <c r="K103">
        <v>0</v>
      </c>
      <c r="L103">
        <v>77</v>
      </c>
      <c r="M103" t="s">
        <v>288</v>
      </c>
      <c r="O103">
        <v>14508</v>
      </c>
      <c r="P103">
        <v>2916</v>
      </c>
      <c r="Q103">
        <v>21406</v>
      </c>
      <c r="R103" t="s">
        <v>57</v>
      </c>
      <c r="S103" t="s">
        <v>39</v>
      </c>
      <c r="T103" t="s">
        <v>289</v>
      </c>
      <c r="U103" t="s">
        <v>41</v>
      </c>
      <c r="V103" t="s">
        <v>290</v>
      </c>
      <c r="Y103">
        <v>2098.4168364238249</v>
      </c>
      <c r="Z103">
        <v>188546.68486677029</v>
      </c>
      <c r="AA103">
        <f t="shared" si="2"/>
        <v>552056.5125487058</v>
      </c>
      <c r="AB103">
        <f t="shared" si="3"/>
        <v>0</v>
      </c>
      <c r="AC103" s="6">
        <v>431.38125418897556</v>
      </c>
      <c r="AD103" s="1">
        <v>132</v>
      </c>
      <c r="AE103" s="1">
        <v>552056.5125487058</v>
      </c>
      <c r="AK103" s="1">
        <v>132</v>
      </c>
      <c r="AL103" s="1"/>
    </row>
  </sheetData>
  <sortState xmlns:xlrd2="http://schemas.microsoft.com/office/spreadsheetml/2017/richdata2" ref="A2:AL103">
    <sortCondition ref="B2:B10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Cluster_4_28_MASTER_ExportFeatu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Johann Lall</cp:lastModifiedBy>
  <dcterms:created xsi:type="dcterms:W3CDTF">2026-05-12T03:09:07Z</dcterms:created>
  <dcterms:modified xsi:type="dcterms:W3CDTF">2026-05-12T21:33:13Z</dcterms:modified>
</cp:coreProperties>
</file>